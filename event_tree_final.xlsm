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00.66.122.121\main\Users\fire_owen\uni\thesis\"/>
    </mc:Choice>
  </mc:AlternateContent>
  <xr:revisionPtr revIDLastSave="0" documentId="13_ncr:1_{BAAF2CA2-5448-46BD-A17B-6D3520B26BB3}" xr6:coauthVersionLast="47" xr6:coauthVersionMax="47" xr10:uidLastSave="{00000000-0000-0000-0000-000000000000}"/>
  <bookViews>
    <workbookView xWindow="-120" yWindow="-120" windowWidth="38640" windowHeight="21120" xr2:uid="{9A0822A6-5420-41EC-949B-5EE13B0AC7CA}"/>
  </bookViews>
  <sheets>
    <sheet name="Inputs" sheetId="1" r:id="rId1"/>
    <sheet name="event_tree" sheetId="2" r:id="rId2"/>
    <sheet name="ASET_data" sheetId="8" r:id="rId3"/>
    <sheet name="ASET_inputs" sheetId="7" r:id="rId4"/>
    <sheet name="RSET" sheetId="6" r:id="rId5"/>
  </sheets>
  <definedNames>
    <definedName name="_xlpm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1" i="8" l="1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P2" i="8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AG3" i="8"/>
  <c r="AH3" i="8"/>
  <c r="AG4" i="8"/>
  <c r="AH4" i="8"/>
  <c r="AG5" i="8"/>
  <c r="AH5" i="8"/>
  <c r="AG6" i="8"/>
  <c r="AH6" i="8"/>
  <c r="AG7" i="8"/>
  <c r="AH7" i="8"/>
  <c r="AG8" i="8"/>
  <c r="AH8" i="8"/>
  <c r="AG9" i="8"/>
  <c r="AH9" i="8"/>
  <c r="AG10" i="8"/>
  <c r="AH10" i="8"/>
  <c r="AG11" i="8"/>
  <c r="AH11" i="8"/>
  <c r="AG12" i="8"/>
  <c r="AH12" i="8"/>
  <c r="AG13" i="8"/>
  <c r="AH13" i="8"/>
  <c r="AG14" i="8"/>
  <c r="AH14" i="8"/>
  <c r="AG15" i="8"/>
  <c r="AH15" i="8"/>
  <c r="AG16" i="8"/>
  <c r="AH16" i="8"/>
  <c r="AG17" i="8"/>
  <c r="AH17" i="8"/>
  <c r="AG18" i="8"/>
  <c r="AH18" i="8"/>
  <c r="AG19" i="8"/>
  <c r="AH19" i="8"/>
  <c r="AG20" i="8"/>
  <c r="AH20" i="8"/>
  <c r="AG21" i="8"/>
  <c r="AH21" i="8"/>
  <c r="AG22" i="8"/>
  <c r="AH22" i="8"/>
  <c r="AG23" i="8"/>
  <c r="AH23" i="8"/>
  <c r="AG24" i="8"/>
  <c r="AH24" i="8"/>
  <c r="AG25" i="8"/>
  <c r="AH25" i="8"/>
  <c r="AG26" i="8"/>
  <c r="AH26" i="8"/>
  <c r="AG27" i="8"/>
  <c r="AH27" i="8"/>
  <c r="AG28" i="8"/>
  <c r="AH28" i="8"/>
  <c r="AG29" i="8"/>
  <c r="AH29" i="8"/>
  <c r="AG30" i="8"/>
  <c r="AH30" i="8"/>
  <c r="AG31" i="8"/>
  <c r="AH31" i="8"/>
  <c r="AG32" i="8"/>
  <c r="AH32" i="8"/>
  <c r="AG33" i="8"/>
  <c r="AH33" i="8"/>
  <c r="AG34" i="8"/>
  <c r="AH34" i="8"/>
  <c r="AG35" i="8"/>
  <c r="AH35" i="8"/>
  <c r="AG36" i="8"/>
  <c r="AH36" i="8"/>
  <c r="AG37" i="8"/>
  <c r="AH37" i="8"/>
  <c r="AG38" i="8"/>
  <c r="AH38" i="8"/>
  <c r="AG39" i="8"/>
  <c r="AH39" i="8"/>
  <c r="AG40" i="8"/>
  <c r="AH40" i="8"/>
  <c r="AG41" i="8"/>
  <c r="AH41" i="8"/>
  <c r="AG42" i="8"/>
  <c r="AH42" i="8"/>
  <c r="AG43" i="8"/>
  <c r="AH43" i="8"/>
  <c r="AG44" i="8"/>
  <c r="AH44" i="8"/>
  <c r="AG45" i="8"/>
  <c r="AH45" i="8"/>
  <c r="AG46" i="8"/>
  <c r="AH46" i="8"/>
  <c r="AG47" i="8"/>
  <c r="AH47" i="8"/>
  <c r="AG48" i="8"/>
  <c r="AH48" i="8"/>
  <c r="AG49" i="8"/>
  <c r="AH49" i="8"/>
  <c r="AG50" i="8"/>
  <c r="AH50" i="8"/>
  <c r="AG51" i="8"/>
  <c r="AH51" i="8"/>
  <c r="AG52" i="8"/>
  <c r="AH52" i="8"/>
  <c r="AG53" i="8"/>
  <c r="AH53" i="8"/>
  <c r="AG54" i="8"/>
  <c r="AH54" i="8"/>
  <c r="AG55" i="8"/>
  <c r="AH55" i="8"/>
  <c r="AG56" i="8"/>
  <c r="AH56" i="8"/>
  <c r="AG57" i="8"/>
  <c r="AH57" i="8"/>
  <c r="AG58" i="8"/>
  <c r="AH58" i="8"/>
  <c r="AG59" i="8"/>
  <c r="AH59" i="8"/>
  <c r="AG60" i="8"/>
  <c r="AH60" i="8"/>
  <c r="AG61" i="8"/>
  <c r="AH61" i="8"/>
  <c r="AG62" i="8"/>
  <c r="AH62" i="8"/>
  <c r="AG63" i="8"/>
  <c r="AH63" i="8"/>
  <c r="AG64" i="8"/>
  <c r="AH64" i="8"/>
  <c r="AG65" i="8"/>
  <c r="AH65" i="8"/>
  <c r="AG66" i="8"/>
  <c r="AH66" i="8"/>
  <c r="AG67" i="8"/>
  <c r="AH67" i="8"/>
  <c r="AG68" i="8"/>
  <c r="AH68" i="8"/>
  <c r="AG69" i="8"/>
  <c r="AH69" i="8"/>
  <c r="AG70" i="8"/>
  <c r="AH70" i="8"/>
  <c r="AG71" i="8"/>
  <c r="AH71" i="8"/>
  <c r="AG72" i="8"/>
  <c r="AH72" i="8"/>
  <c r="AG73" i="8"/>
  <c r="AH73" i="8"/>
  <c r="AG74" i="8"/>
  <c r="AH74" i="8"/>
  <c r="AG75" i="8"/>
  <c r="AH75" i="8"/>
  <c r="AG76" i="8"/>
  <c r="AH76" i="8"/>
  <c r="AG77" i="8"/>
  <c r="AH77" i="8"/>
  <c r="AG78" i="8"/>
  <c r="AH78" i="8"/>
  <c r="AG79" i="8"/>
  <c r="AH79" i="8"/>
  <c r="AG80" i="8"/>
  <c r="AH80" i="8"/>
  <c r="AG81" i="8"/>
  <c r="AH81" i="8"/>
  <c r="AG82" i="8"/>
  <c r="AH82" i="8"/>
  <c r="AG83" i="8"/>
  <c r="AH83" i="8"/>
  <c r="AG84" i="8"/>
  <c r="AH84" i="8"/>
  <c r="AG85" i="8"/>
  <c r="AH85" i="8"/>
  <c r="AH2" i="8"/>
  <c r="AG2" i="8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D69" i="8"/>
  <c r="AE69" i="8"/>
  <c r="AD70" i="8"/>
  <c r="AE70" i="8"/>
  <c r="AD71" i="8"/>
  <c r="AE71" i="8"/>
  <c r="AD72" i="8"/>
  <c r="AE72" i="8"/>
  <c r="AD73" i="8"/>
  <c r="AE73" i="8"/>
  <c r="AD74" i="8"/>
  <c r="AE74" i="8"/>
  <c r="AD75" i="8"/>
  <c r="AE75" i="8"/>
  <c r="AD76" i="8"/>
  <c r="AE76" i="8"/>
  <c r="AD77" i="8"/>
  <c r="AE77" i="8"/>
  <c r="AD78" i="8"/>
  <c r="AE78" i="8"/>
  <c r="AD79" i="8"/>
  <c r="AE79" i="8"/>
  <c r="AD80" i="8"/>
  <c r="AE80" i="8"/>
  <c r="AD81" i="8"/>
  <c r="AE81" i="8"/>
  <c r="AD82" i="8"/>
  <c r="AE82" i="8"/>
  <c r="AD83" i="8"/>
  <c r="AE83" i="8"/>
  <c r="AD84" i="8"/>
  <c r="AE84" i="8"/>
  <c r="AD85" i="8"/>
  <c r="AE85" i="8"/>
  <c r="AE2" i="8"/>
  <c r="AD2" i="8"/>
  <c r="AA3" i="8"/>
  <c r="AB3" i="8"/>
  <c r="AA4" i="8"/>
  <c r="AB4" i="8"/>
  <c r="AA5" i="8"/>
  <c r="AB5" i="8"/>
  <c r="AA6" i="8"/>
  <c r="AB6" i="8"/>
  <c r="AA7" i="8"/>
  <c r="AB7" i="8"/>
  <c r="AA8" i="8"/>
  <c r="AB8" i="8"/>
  <c r="AA9" i="8"/>
  <c r="AB9" i="8"/>
  <c r="AA10" i="8"/>
  <c r="AB10" i="8"/>
  <c r="AA11" i="8"/>
  <c r="AB11" i="8"/>
  <c r="AA12" i="8"/>
  <c r="AB12" i="8"/>
  <c r="AA13" i="8"/>
  <c r="AB13" i="8"/>
  <c r="AA14" i="8"/>
  <c r="AB14" i="8"/>
  <c r="AA15" i="8"/>
  <c r="AB15" i="8"/>
  <c r="AA16" i="8"/>
  <c r="AB16" i="8"/>
  <c r="AA17" i="8"/>
  <c r="AB17" i="8"/>
  <c r="AA18" i="8"/>
  <c r="AB18" i="8"/>
  <c r="AA19" i="8"/>
  <c r="AB19" i="8"/>
  <c r="AA20" i="8"/>
  <c r="AB20" i="8"/>
  <c r="AA21" i="8"/>
  <c r="AB21" i="8"/>
  <c r="AA22" i="8"/>
  <c r="AB22" i="8"/>
  <c r="AA23" i="8"/>
  <c r="AB23" i="8"/>
  <c r="AA24" i="8"/>
  <c r="AB24" i="8"/>
  <c r="AA25" i="8"/>
  <c r="AB25" i="8"/>
  <c r="AA26" i="8"/>
  <c r="AB26" i="8"/>
  <c r="AA27" i="8"/>
  <c r="AB27" i="8"/>
  <c r="AA28" i="8"/>
  <c r="AB28" i="8"/>
  <c r="AA29" i="8"/>
  <c r="AB29" i="8"/>
  <c r="AA30" i="8"/>
  <c r="AB30" i="8"/>
  <c r="AA31" i="8"/>
  <c r="AB31" i="8"/>
  <c r="AA32" i="8"/>
  <c r="AB32" i="8"/>
  <c r="AA33" i="8"/>
  <c r="AB33" i="8"/>
  <c r="AA34" i="8"/>
  <c r="AB34" i="8"/>
  <c r="AA35" i="8"/>
  <c r="AB35" i="8"/>
  <c r="AA36" i="8"/>
  <c r="AB36" i="8"/>
  <c r="AA37" i="8"/>
  <c r="AB37" i="8"/>
  <c r="AA38" i="8"/>
  <c r="AB38" i="8"/>
  <c r="AA39" i="8"/>
  <c r="AB39" i="8"/>
  <c r="AA40" i="8"/>
  <c r="AB40" i="8"/>
  <c r="AA41" i="8"/>
  <c r="AB41" i="8"/>
  <c r="AA42" i="8"/>
  <c r="AB42" i="8"/>
  <c r="AA43" i="8"/>
  <c r="AB43" i="8"/>
  <c r="AA44" i="8"/>
  <c r="AB44" i="8"/>
  <c r="AA45" i="8"/>
  <c r="AB45" i="8"/>
  <c r="AA46" i="8"/>
  <c r="AB46" i="8"/>
  <c r="AA47" i="8"/>
  <c r="AB47" i="8"/>
  <c r="AA48" i="8"/>
  <c r="AB48" i="8"/>
  <c r="AA49" i="8"/>
  <c r="AB49" i="8"/>
  <c r="AA50" i="8"/>
  <c r="AB50" i="8"/>
  <c r="AA51" i="8"/>
  <c r="AB51" i="8"/>
  <c r="AA52" i="8"/>
  <c r="AB52" i="8"/>
  <c r="AA53" i="8"/>
  <c r="AB53" i="8"/>
  <c r="AA54" i="8"/>
  <c r="AB54" i="8"/>
  <c r="AA55" i="8"/>
  <c r="AB55" i="8"/>
  <c r="AA56" i="8"/>
  <c r="AB56" i="8"/>
  <c r="AA57" i="8"/>
  <c r="AB57" i="8"/>
  <c r="AA58" i="8"/>
  <c r="AB58" i="8"/>
  <c r="AA59" i="8"/>
  <c r="AB59" i="8"/>
  <c r="AA60" i="8"/>
  <c r="AB60" i="8"/>
  <c r="AA61" i="8"/>
  <c r="AB61" i="8"/>
  <c r="AA62" i="8"/>
  <c r="AB62" i="8"/>
  <c r="AA63" i="8"/>
  <c r="AB63" i="8"/>
  <c r="AA64" i="8"/>
  <c r="AB64" i="8"/>
  <c r="AA65" i="8"/>
  <c r="AB65" i="8"/>
  <c r="AA66" i="8"/>
  <c r="AB66" i="8"/>
  <c r="AA67" i="8"/>
  <c r="AB67" i="8"/>
  <c r="AA68" i="8"/>
  <c r="AB68" i="8"/>
  <c r="AA69" i="8"/>
  <c r="AB69" i="8"/>
  <c r="AA70" i="8"/>
  <c r="AB70" i="8"/>
  <c r="AA71" i="8"/>
  <c r="AB71" i="8"/>
  <c r="AA72" i="8"/>
  <c r="AB72" i="8"/>
  <c r="AA73" i="8"/>
  <c r="AB73" i="8"/>
  <c r="AA74" i="8"/>
  <c r="AB74" i="8"/>
  <c r="AA75" i="8"/>
  <c r="AB75" i="8"/>
  <c r="AA76" i="8"/>
  <c r="AB76" i="8"/>
  <c r="AA77" i="8"/>
  <c r="AB77" i="8"/>
  <c r="AA78" i="8"/>
  <c r="AB78" i="8"/>
  <c r="AA79" i="8"/>
  <c r="AB79" i="8"/>
  <c r="AA80" i="8"/>
  <c r="AB80" i="8"/>
  <c r="AA81" i="8"/>
  <c r="AB81" i="8"/>
  <c r="AA82" i="8"/>
  <c r="AB82" i="8"/>
  <c r="AA83" i="8"/>
  <c r="AB83" i="8"/>
  <c r="AA84" i="8"/>
  <c r="AB84" i="8"/>
  <c r="AA85" i="8"/>
  <c r="AB85" i="8"/>
  <c r="AB2" i="8"/>
  <c r="AA2" i="8"/>
  <c r="X3" i="8"/>
  <c r="Y3" i="8"/>
  <c r="X4" i="8"/>
  <c r="Y4" i="8"/>
  <c r="X5" i="8"/>
  <c r="Y5" i="8"/>
  <c r="X6" i="8"/>
  <c r="Y6" i="8"/>
  <c r="X7" i="8"/>
  <c r="Y7" i="8"/>
  <c r="X8" i="8"/>
  <c r="Y8" i="8"/>
  <c r="X9" i="8"/>
  <c r="Y9" i="8"/>
  <c r="X10" i="8"/>
  <c r="Y10" i="8"/>
  <c r="X11" i="8"/>
  <c r="Y11" i="8"/>
  <c r="X12" i="8"/>
  <c r="Y12" i="8"/>
  <c r="X13" i="8"/>
  <c r="Y13" i="8"/>
  <c r="X14" i="8"/>
  <c r="Y14" i="8"/>
  <c r="X15" i="8"/>
  <c r="Y15" i="8"/>
  <c r="X16" i="8"/>
  <c r="Y16" i="8"/>
  <c r="X17" i="8"/>
  <c r="Y17" i="8"/>
  <c r="X18" i="8"/>
  <c r="Y18" i="8"/>
  <c r="X19" i="8"/>
  <c r="Y19" i="8"/>
  <c r="X20" i="8"/>
  <c r="Y20" i="8"/>
  <c r="X21" i="8"/>
  <c r="Y21" i="8"/>
  <c r="X22" i="8"/>
  <c r="Y22" i="8"/>
  <c r="X23" i="8"/>
  <c r="Y23" i="8"/>
  <c r="X24" i="8"/>
  <c r="Y24" i="8"/>
  <c r="X25" i="8"/>
  <c r="Y25" i="8"/>
  <c r="X26" i="8"/>
  <c r="Y26" i="8"/>
  <c r="X27" i="8"/>
  <c r="Y27" i="8"/>
  <c r="X28" i="8"/>
  <c r="Y28" i="8"/>
  <c r="X29" i="8"/>
  <c r="Y29" i="8"/>
  <c r="X30" i="8"/>
  <c r="Y30" i="8"/>
  <c r="X31" i="8"/>
  <c r="Y31" i="8"/>
  <c r="X32" i="8"/>
  <c r="Y32" i="8"/>
  <c r="X33" i="8"/>
  <c r="Y33" i="8"/>
  <c r="X34" i="8"/>
  <c r="Y34" i="8"/>
  <c r="X35" i="8"/>
  <c r="Y35" i="8"/>
  <c r="X36" i="8"/>
  <c r="Y36" i="8"/>
  <c r="X37" i="8"/>
  <c r="Y37" i="8"/>
  <c r="X38" i="8"/>
  <c r="Y38" i="8"/>
  <c r="X39" i="8"/>
  <c r="Y39" i="8"/>
  <c r="X40" i="8"/>
  <c r="Y40" i="8"/>
  <c r="X41" i="8"/>
  <c r="Y41" i="8"/>
  <c r="X42" i="8"/>
  <c r="Y42" i="8"/>
  <c r="X43" i="8"/>
  <c r="Y43" i="8"/>
  <c r="X44" i="8"/>
  <c r="Y44" i="8"/>
  <c r="X45" i="8"/>
  <c r="Y45" i="8"/>
  <c r="X46" i="8"/>
  <c r="Y46" i="8"/>
  <c r="X47" i="8"/>
  <c r="Y47" i="8"/>
  <c r="X48" i="8"/>
  <c r="Y48" i="8"/>
  <c r="X49" i="8"/>
  <c r="Y49" i="8"/>
  <c r="X50" i="8"/>
  <c r="Y50" i="8"/>
  <c r="X51" i="8"/>
  <c r="Y51" i="8"/>
  <c r="X52" i="8"/>
  <c r="Y52" i="8"/>
  <c r="X53" i="8"/>
  <c r="Y53" i="8"/>
  <c r="X54" i="8"/>
  <c r="Y54" i="8"/>
  <c r="X55" i="8"/>
  <c r="Y55" i="8"/>
  <c r="X56" i="8"/>
  <c r="Y56" i="8"/>
  <c r="X57" i="8"/>
  <c r="Y57" i="8"/>
  <c r="X58" i="8"/>
  <c r="Y58" i="8"/>
  <c r="X59" i="8"/>
  <c r="Y59" i="8"/>
  <c r="X60" i="8"/>
  <c r="Y60" i="8"/>
  <c r="X61" i="8"/>
  <c r="Y61" i="8"/>
  <c r="X62" i="8"/>
  <c r="Y62" i="8"/>
  <c r="X63" i="8"/>
  <c r="Y63" i="8"/>
  <c r="X64" i="8"/>
  <c r="Y64" i="8"/>
  <c r="X65" i="8"/>
  <c r="Y65" i="8"/>
  <c r="X66" i="8"/>
  <c r="Y66" i="8"/>
  <c r="X67" i="8"/>
  <c r="Y67" i="8"/>
  <c r="X68" i="8"/>
  <c r="Y68" i="8"/>
  <c r="X69" i="8"/>
  <c r="Y69" i="8"/>
  <c r="X70" i="8"/>
  <c r="Y70" i="8"/>
  <c r="X71" i="8"/>
  <c r="Y71" i="8"/>
  <c r="X72" i="8"/>
  <c r="Y72" i="8"/>
  <c r="X73" i="8"/>
  <c r="Y73" i="8"/>
  <c r="X74" i="8"/>
  <c r="Y74" i="8"/>
  <c r="X75" i="8"/>
  <c r="Y75" i="8"/>
  <c r="X76" i="8"/>
  <c r="Y76" i="8"/>
  <c r="X77" i="8"/>
  <c r="Y77" i="8"/>
  <c r="X78" i="8"/>
  <c r="Y78" i="8"/>
  <c r="X79" i="8"/>
  <c r="Y79" i="8"/>
  <c r="X80" i="8"/>
  <c r="Y80" i="8"/>
  <c r="X81" i="8"/>
  <c r="Y81" i="8"/>
  <c r="X82" i="8"/>
  <c r="Y82" i="8"/>
  <c r="X83" i="8"/>
  <c r="Y83" i="8"/>
  <c r="X84" i="8"/>
  <c r="Y84" i="8"/>
  <c r="X85" i="8"/>
  <c r="Y85" i="8"/>
  <c r="Y2" i="8"/>
  <c r="X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2" i="8"/>
  <c r="S36" i="8"/>
  <c r="S35" i="8"/>
  <c r="S34" i="8"/>
  <c r="S33" i="8"/>
  <c r="S32" i="8"/>
  <c r="S31" i="8"/>
  <c r="S30" i="8"/>
  <c r="S15" i="8"/>
  <c r="S14" i="8"/>
  <c r="S13" i="8"/>
  <c r="S12" i="8"/>
  <c r="S11" i="8"/>
  <c r="S10" i="8"/>
  <c r="S9" i="8"/>
  <c r="R78" i="8"/>
  <c r="R77" i="8"/>
  <c r="R76" i="8"/>
  <c r="R75" i="8"/>
  <c r="R74" i="8"/>
  <c r="R73" i="8"/>
  <c r="R72" i="8"/>
  <c r="R57" i="8"/>
  <c r="R56" i="8"/>
  <c r="R55" i="8"/>
  <c r="R54" i="8"/>
  <c r="R53" i="8"/>
  <c r="R52" i="8"/>
  <c r="R51" i="8"/>
  <c r="D2" i="2" a="1"/>
  <c r="D2" i="2" s="1"/>
  <c r="I4" i="1"/>
  <c r="K73" i="8"/>
  <c r="K74" i="8"/>
  <c r="K75" i="8"/>
  <c r="K76" i="8"/>
  <c r="K77" i="8"/>
  <c r="K78" i="8"/>
  <c r="K72" i="8"/>
  <c r="K52" i="8"/>
  <c r="K53" i="8"/>
  <c r="K54" i="8"/>
  <c r="K55" i="8"/>
  <c r="K56" i="8"/>
  <c r="K57" i="8"/>
  <c r="K51" i="8"/>
  <c r="N31" i="8"/>
  <c r="N32" i="8"/>
  <c r="N33" i="8"/>
  <c r="N34" i="8"/>
  <c r="N35" i="8"/>
  <c r="N36" i="8"/>
  <c r="N30" i="8"/>
  <c r="N10" i="8"/>
  <c r="N11" i="8"/>
  <c r="N12" i="8"/>
  <c r="N13" i="8"/>
  <c r="N14" i="8"/>
  <c r="N15" i="8"/>
  <c r="N9" i="8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X48" i="7"/>
  <c r="H2" i="2" a="1"/>
  <c r="H2" i="2" s="1"/>
  <c r="G2" i="2" a="1"/>
  <c r="G2" i="2" s="1"/>
  <c r="I2" i="2" s="1"/>
  <c r="G3" i="2" a="1"/>
  <c r="G3" i="2" s="1"/>
  <c r="I3" i="2" s="1"/>
  <c r="G4" i="2" a="1"/>
  <c r="G4" i="2" s="1"/>
  <c r="G5" i="2" a="1"/>
  <c r="G5" i="2" s="1"/>
  <c r="G6" i="2" a="1"/>
  <c r="G6" i="2" s="1"/>
  <c r="I6" i="2" s="1"/>
  <c r="G7" i="2" a="1"/>
  <c r="G7" i="2" s="1"/>
  <c r="I7" i="2" s="1"/>
  <c r="G8" i="2" a="1"/>
  <c r="G8" i="2" s="1"/>
  <c r="G9" i="2" a="1"/>
  <c r="G9" i="2" s="1"/>
  <c r="G10" i="2" a="1"/>
  <c r="G10" i="2" s="1"/>
  <c r="I10" i="2" s="1"/>
  <c r="G11" i="2" a="1"/>
  <c r="G11" i="2" s="1"/>
  <c r="I11" i="2" s="1"/>
  <c r="G12" i="2" a="1"/>
  <c r="G12" i="2" s="1"/>
  <c r="G13" i="2" a="1"/>
  <c r="G13" i="2" s="1"/>
  <c r="G14" i="2" a="1"/>
  <c r="G14" i="2" s="1"/>
  <c r="I14" i="2" s="1"/>
  <c r="G15" i="2" a="1"/>
  <c r="G15" i="2" s="1"/>
  <c r="I15" i="2" s="1"/>
  <c r="G16" i="2" a="1"/>
  <c r="G16" i="2" s="1"/>
  <c r="G17" i="2" a="1"/>
  <c r="G17" i="2" s="1"/>
  <c r="G18" i="2" a="1"/>
  <c r="G18" i="2" s="1"/>
  <c r="I18" i="2" s="1"/>
  <c r="G19" i="2" a="1"/>
  <c r="G19" i="2" s="1"/>
  <c r="I19" i="2" s="1"/>
  <c r="G20" i="2" a="1"/>
  <c r="G20" i="2" s="1"/>
  <c r="G21" i="2" a="1"/>
  <c r="G21" i="2" s="1"/>
  <c r="G22" i="2" a="1"/>
  <c r="G22" i="2" s="1"/>
  <c r="I22" i="2" s="1"/>
  <c r="G23" i="2" a="1"/>
  <c r="G23" i="2" s="1"/>
  <c r="I23" i="2" s="1"/>
  <c r="G24" i="2" a="1"/>
  <c r="G24" i="2" s="1"/>
  <c r="G25" i="2" a="1"/>
  <c r="G25" i="2" s="1"/>
  <c r="G26" i="2" a="1"/>
  <c r="G26" i="2" s="1"/>
  <c r="I26" i="2" s="1"/>
  <c r="G27" i="2" a="1"/>
  <c r="G27" i="2" s="1"/>
  <c r="I27" i="2" s="1"/>
  <c r="G28" i="2" a="1"/>
  <c r="G28" i="2" s="1"/>
  <c r="G29" i="2" a="1"/>
  <c r="G29" i="2" s="1"/>
  <c r="G30" i="2" a="1"/>
  <c r="G30" i="2" s="1"/>
  <c r="I30" i="2" s="1"/>
  <c r="G31" i="2" a="1"/>
  <c r="G31" i="2" s="1"/>
  <c r="I31" i="2" s="1"/>
  <c r="G32" i="2" a="1"/>
  <c r="G32" i="2" s="1"/>
  <c r="G33" i="2" a="1"/>
  <c r="G33" i="2" s="1"/>
  <c r="G34" i="2" a="1"/>
  <c r="G34" i="2" s="1"/>
  <c r="I34" i="2" s="1"/>
  <c r="G35" i="2" a="1"/>
  <c r="G35" i="2" s="1"/>
  <c r="I35" i="2" s="1"/>
  <c r="G36" i="2" a="1"/>
  <c r="G36" i="2" s="1"/>
  <c r="G37" i="2" a="1"/>
  <c r="G37" i="2" s="1"/>
  <c r="G38" i="2" a="1"/>
  <c r="G38" i="2" s="1"/>
  <c r="I38" i="2" s="1"/>
  <c r="G39" i="2" a="1"/>
  <c r="G39" i="2" s="1"/>
  <c r="I39" i="2" s="1"/>
  <c r="G40" i="2" a="1"/>
  <c r="G40" i="2" s="1"/>
  <c r="G41" i="2" a="1"/>
  <c r="G41" i="2" s="1"/>
  <c r="G42" i="2" a="1"/>
  <c r="G42" i="2" s="1"/>
  <c r="I42" i="2" s="1"/>
  <c r="G43" i="2" a="1"/>
  <c r="G43" i="2" s="1"/>
  <c r="I43" i="2" s="1"/>
  <c r="G44" i="2" a="1"/>
  <c r="G44" i="2" s="1"/>
  <c r="G45" i="2" a="1"/>
  <c r="G45" i="2" s="1"/>
  <c r="G46" i="2" a="1"/>
  <c r="G46" i="2" s="1"/>
  <c r="I46" i="2" s="1"/>
  <c r="G47" i="2" a="1"/>
  <c r="G47" i="2" s="1"/>
  <c r="I47" i="2" s="1"/>
  <c r="G48" i="2" a="1"/>
  <c r="G48" i="2" s="1"/>
  <c r="G49" i="2" a="1"/>
  <c r="G49" i="2" s="1"/>
  <c r="G50" i="2" a="1"/>
  <c r="G50" i="2" s="1"/>
  <c r="I50" i="2" s="1"/>
  <c r="G51" i="2" a="1"/>
  <c r="G51" i="2" s="1"/>
  <c r="I51" i="2" s="1"/>
  <c r="G52" i="2" a="1"/>
  <c r="G52" i="2" s="1"/>
  <c r="G53" i="2" a="1"/>
  <c r="G53" i="2" s="1"/>
  <c r="G54" i="2" a="1"/>
  <c r="G54" i="2" s="1"/>
  <c r="I54" i="2" s="1"/>
  <c r="G55" i="2" a="1"/>
  <c r="G55" i="2" s="1"/>
  <c r="I55" i="2" s="1"/>
  <c r="G56" i="2" a="1"/>
  <c r="G56" i="2" s="1"/>
  <c r="G57" i="2" a="1"/>
  <c r="G57" i="2" s="1"/>
  <c r="G58" i="2" a="1"/>
  <c r="G58" i="2" s="1"/>
  <c r="I58" i="2" s="1"/>
  <c r="G59" i="2" a="1"/>
  <c r="G59" i="2" s="1"/>
  <c r="I59" i="2" s="1"/>
  <c r="G60" i="2" a="1"/>
  <c r="G60" i="2" s="1"/>
  <c r="G61" i="2" a="1"/>
  <c r="G61" i="2" s="1"/>
  <c r="G62" i="2" a="1"/>
  <c r="G62" i="2" s="1"/>
  <c r="I62" i="2" s="1"/>
  <c r="G63" i="2" a="1"/>
  <c r="G63" i="2" s="1"/>
  <c r="I63" i="2" s="1"/>
  <c r="G64" i="2" a="1"/>
  <c r="G64" i="2" s="1"/>
  <c r="G65" i="2" a="1"/>
  <c r="G65" i="2" s="1"/>
  <c r="G66" i="2" a="1"/>
  <c r="G66" i="2" s="1"/>
  <c r="I66" i="2" s="1"/>
  <c r="G67" i="2" a="1"/>
  <c r="G67" i="2" s="1"/>
  <c r="I67" i="2" s="1"/>
  <c r="G68" i="2" a="1"/>
  <c r="G68" i="2" s="1"/>
  <c r="G69" i="2" a="1"/>
  <c r="G69" i="2" s="1"/>
  <c r="G70" i="2" a="1"/>
  <c r="G70" i="2" s="1"/>
  <c r="I70" i="2" s="1"/>
  <c r="G71" i="2" a="1"/>
  <c r="G71" i="2" s="1"/>
  <c r="I71" i="2" s="1"/>
  <c r="G72" i="2" a="1"/>
  <c r="G72" i="2" s="1"/>
  <c r="G73" i="2" a="1"/>
  <c r="G73" i="2" s="1"/>
  <c r="G74" i="2" a="1"/>
  <c r="G74" i="2" s="1"/>
  <c r="I74" i="2" s="1"/>
  <c r="G75" i="2" a="1"/>
  <c r="G75" i="2" s="1"/>
  <c r="I75" i="2" s="1"/>
  <c r="G76" i="2" a="1"/>
  <c r="G76" i="2" s="1"/>
  <c r="G77" i="2" a="1"/>
  <c r="G77" i="2" s="1"/>
  <c r="G78" i="2" a="1"/>
  <c r="G78" i="2" s="1"/>
  <c r="I78" i="2" s="1"/>
  <c r="G79" i="2" a="1"/>
  <c r="G79" i="2" s="1"/>
  <c r="I79" i="2" s="1"/>
  <c r="G80" i="2" a="1"/>
  <c r="G80" i="2" s="1"/>
  <c r="G81" i="2" a="1"/>
  <c r="G81" i="2" s="1"/>
  <c r="G82" i="2" a="1"/>
  <c r="G82" i="2" s="1"/>
  <c r="I82" i="2" s="1"/>
  <c r="G83" i="2" a="1"/>
  <c r="G83" i="2" s="1"/>
  <c r="I83" i="2" s="1"/>
  <c r="G84" i="2" a="1"/>
  <c r="G84" i="2" s="1"/>
  <c r="G85" i="2" a="1"/>
  <c r="G85" i="2" s="1"/>
  <c r="G86" i="2" a="1"/>
  <c r="G86" i="2" s="1"/>
  <c r="I86" i="2" s="1"/>
  <c r="G87" i="2" a="1"/>
  <c r="G87" i="2" s="1"/>
  <c r="I87" i="2" s="1"/>
  <c r="G88" i="2" a="1"/>
  <c r="G88" i="2" s="1"/>
  <c r="G89" i="2" a="1"/>
  <c r="G89" i="2" s="1"/>
  <c r="G90" i="2" a="1"/>
  <c r="G90" i="2" s="1"/>
  <c r="I90" i="2" s="1"/>
  <c r="G91" i="2" a="1"/>
  <c r="G91" i="2" s="1"/>
  <c r="I91" i="2" s="1"/>
  <c r="G92" i="2" a="1"/>
  <c r="G92" i="2" s="1"/>
  <c r="G93" i="2" a="1"/>
  <c r="G93" i="2" s="1"/>
  <c r="G94" i="2" a="1"/>
  <c r="G94" i="2" s="1"/>
  <c r="I94" i="2" s="1"/>
  <c r="G95" i="2" a="1"/>
  <c r="G95" i="2" s="1"/>
  <c r="I95" i="2" s="1"/>
  <c r="G96" i="2" a="1"/>
  <c r="G96" i="2" s="1"/>
  <c r="G97" i="2" a="1"/>
  <c r="G97" i="2" s="1"/>
  <c r="G98" i="2" a="1"/>
  <c r="G98" i="2" s="1"/>
  <c r="I98" i="2" s="1"/>
  <c r="G99" i="2" a="1"/>
  <c r="G99" i="2" s="1"/>
  <c r="I99" i="2" s="1"/>
  <c r="G100" i="2" a="1"/>
  <c r="G100" i="2" s="1"/>
  <c r="G101" i="2" a="1"/>
  <c r="G101" i="2" s="1"/>
  <c r="G102" i="2" a="1"/>
  <c r="G102" i="2" s="1"/>
  <c r="I102" i="2" s="1"/>
  <c r="G103" i="2" a="1"/>
  <c r="G103" i="2" s="1"/>
  <c r="I103" i="2" s="1"/>
  <c r="G104" i="2" a="1"/>
  <c r="G104" i="2" s="1"/>
  <c r="G105" i="2" a="1"/>
  <c r="G105" i="2" s="1"/>
  <c r="G106" i="2" a="1"/>
  <c r="G106" i="2" s="1"/>
  <c r="I106" i="2" s="1"/>
  <c r="G107" i="2" a="1"/>
  <c r="G107" i="2" s="1"/>
  <c r="I107" i="2" s="1"/>
  <c r="G108" i="2" a="1"/>
  <c r="G108" i="2" s="1"/>
  <c r="G109" i="2" a="1"/>
  <c r="G109" i="2" s="1"/>
  <c r="G110" i="2" a="1"/>
  <c r="G110" i="2" s="1"/>
  <c r="I110" i="2" s="1"/>
  <c r="G111" i="2" a="1"/>
  <c r="G111" i="2" s="1"/>
  <c r="I111" i="2" s="1"/>
  <c r="G112" i="2" a="1"/>
  <c r="G112" i="2" s="1"/>
  <c r="G113" i="2" a="1"/>
  <c r="G113" i="2" s="1"/>
  <c r="G114" i="2" a="1"/>
  <c r="G114" i="2" s="1"/>
  <c r="I114" i="2" s="1"/>
  <c r="G115" i="2" a="1"/>
  <c r="G115" i="2" s="1"/>
  <c r="I115" i="2" s="1"/>
  <c r="G116" i="2" a="1"/>
  <c r="G116" i="2" s="1"/>
  <c r="G117" i="2" a="1"/>
  <c r="G117" i="2" s="1"/>
  <c r="G118" i="2" a="1"/>
  <c r="G118" i="2" s="1"/>
  <c r="I118" i="2" s="1"/>
  <c r="G119" i="2" a="1"/>
  <c r="G119" i="2" s="1"/>
  <c r="I119" i="2" s="1"/>
  <c r="G120" i="2" a="1"/>
  <c r="G120" i="2" s="1"/>
  <c r="G121" i="2" a="1"/>
  <c r="G121" i="2" s="1"/>
  <c r="G122" i="2" a="1"/>
  <c r="G122" i="2" s="1"/>
  <c r="I122" i="2" s="1"/>
  <c r="G123" i="2" a="1"/>
  <c r="G123" i="2" s="1"/>
  <c r="I123" i="2" s="1"/>
  <c r="G124" i="2" a="1"/>
  <c r="G124" i="2" s="1"/>
  <c r="G125" i="2" a="1"/>
  <c r="G125" i="2" s="1"/>
  <c r="G126" i="2" a="1"/>
  <c r="G126" i="2" s="1"/>
  <c r="I126" i="2" s="1"/>
  <c r="G127" i="2" a="1"/>
  <c r="G127" i="2" s="1"/>
  <c r="I127" i="2" s="1"/>
  <c r="G128" i="2" a="1"/>
  <c r="G128" i="2" s="1"/>
  <c r="G129" i="2" a="1"/>
  <c r="G129" i="2" s="1"/>
  <c r="G130" i="2" a="1"/>
  <c r="G130" i="2" s="1"/>
  <c r="I130" i="2" s="1"/>
  <c r="G131" i="2" a="1"/>
  <c r="G131" i="2" s="1"/>
  <c r="I131" i="2" s="1"/>
  <c r="G132" i="2" a="1"/>
  <c r="G132" i="2" s="1"/>
  <c r="G133" i="2" a="1"/>
  <c r="G133" i="2" s="1"/>
  <c r="G134" i="2" a="1"/>
  <c r="G134" i="2" s="1"/>
  <c r="I134" i="2" s="1"/>
  <c r="G135" i="2" a="1"/>
  <c r="G135" i="2" s="1"/>
  <c r="I135" i="2" s="1"/>
  <c r="G136" i="2" a="1"/>
  <c r="G136" i="2" s="1"/>
  <c r="G137" i="2" a="1"/>
  <c r="G137" i="2" s="1"/>
  <c r="G138" i="2" a="1"/>
  <c r="G138" i="2" s="1"/>
  <c r="I138" i="2" s="1"/>
  <c r="G139" i="2" a="1"/>
  <c r="G139" i="2" s="1"/>
  <c r="I139" i="2" s="1"/>
  <c r="G140" i="2" a="1"/>
  <c r="G140" i="2" s="1"/>
  <c r="G141" i="2" a="1"/>
  <c r="G141" i="2" s="1"/>
  <c r="G142" i="2" a="1"/>
  <c r="G142" i="2" s="1"/>
  <c r="I142" i="2" s="1"/>
  <c r="G143" i="2" a="1"/>
  <c r="G143" i="2" s="1"/>
  <c r="I143" i="2" s="1"/>
  <c r="G144" i="2" a="1"/>
  <c r="G144" i="2" s="1"/>
  <c r="G145" i="2" a="1"/>
  <c r="G145" i="2" s="1"/>
  <c r="G146" i="2" a="1"/>
  <c r="G146" i="2" s="1"/>
  <c r="I146" i="2" s="1"/>
  <c r="G147" i="2" a="1"/>
  <c r="G147" i="2" s="1"/>
  <c r="I147" i="2" s="1"/>
  <c r="G148" i="2" a="1"/>
  <c r="G148" i="2" s="1"/>
  <c r="G149" i="2" a="1"/>
  <c r="G149" i="2" s="1"/>
  <c r="G150" i="2" a="1"/>
  <c r="G150" i="2" s="1"/>
  <c r="I150" i="2" s="1"/>
  <c r="G151" i="2" a="1"/>
  <c r="G151" i="2" s="1"/>
  <c r="I151" i="2" s="1"/>
  <c r="G152" i="2" a="1"/>
  <c r="G152" i="2" s="1"/>
  <c r="G153" i="2" a="1"/>
  <c r="G153" i="2" s="1"/>
  <c r="G154" i="2" a="1"/>
  <c r="G154" i="2" s="1"/>
  <c r="I154" i="2" s="1"/>
  <c r="G155" i="2" a="1"/>
  <c r="G155" i="2" s="1"/>
  <c r="I155" i="2" s="1"/>
  <c r="G156" i="2" a="1"/>
  <c r="G156" i="2" s="1"/>
  <c r="G157" i="2" a="1"/>
  <c r="G157" i="2" s="1"/>
  <c r="G158" i="2" a="1"/>
  <c r="G158" i="2" s="1"/>
  <c r="I158" i="2" s="1"/>
  <c r="G159" i="2" a="1"/>
  <c r="G159" i="2" s="1"/>
  <c r="I159" i="2" s="1"/>
  <c r="G160" i="2" a="1"/>
  <c r="G160" i="2" s="1"/>
  <c r="G161" i="2" a="1"/>
  <c r="G161" i="2" s="1"/>
  <c r="G162" i="2" a="1"/>
  <c r="G162" i="2" s="1"/>
  <c r="I162" i="2" s="1"/>
  <c r="G163" i="2" a="1"/>
  <c r="G163" i="2" s="1"/>
  <c r="I163" i="2" s="1"/>
  <c r="G164" i="2" a="1"/>
  <c r="G164" i="2" s="1"/>
  <c r="G165" i="2" a="1"/>
  <c r="G165" i="2" s="1"/>
  <c r="G166" i="2" a="1"/>
  <c r="G166" i="2" s="1"/>
  <c r="I166" i="2" s="1"/>
  <c r="G167" i="2" a="1"/>
  <c r="G167" i="2" s="1"/>
  <c r="I167" i="2" s="1"/>
  <c r="G168" i="2" a="1"/>
  <c r="G168" i="2" s="1"/>
  <c r="G169" i="2" a="1"/>
  <c r="G169" i="2" s="1"/>
  <c r="G170" i="2" a="1"/>
  <c r="G170" i="2" s="1"/>
  <c r="I170" i="2" s="1"/>
  <c r="G171" i="2" a="1"/>
  <c r="G171" i="2" s="1"/>
  <c r="I171" i="2" s="1"/>
  <c r="G172" i="2" a="1"/>
  <c r="G172" i="2" s="1"/>
  <c r="G173" i="2" a="1"/>
  <c r="G173" i="2" s="1"/>
  <c r="G174" i="2" a="1"/>
  <c r="G174" i="2" s="1"/>
  <c r="I174" i="2" s="1"/>
  <c r="G175" i="2" a="1"/>
  <c r="G175" i="2" s="1"/>
  <c r="I175" i="2" s="1"/>
  <c r="G176" i="2" a="1"/>
  <c r="G176" i="2" s="1"/>
  <c r="G177" i="2" a="1"/>
  <c r="G177" i="2" s="1"/>
  <c r="G178" i="2" a="1"/>
  <c r="G178" i="2" s="1"/>
  <c r="I178" i="2" s="1"/>
  <c r="G179" i="2" a="1"/>
  <c r="G179" i="2" s="1"/>
  <c r="I179" i="2" s="1"/>
  <c r="G180" i="2" a="1"/>
  <c r="G180" i="2" s="1"/>
  <c r="G181" i="2" a="1"/>
  <c r="G181" i="2" s="1"/>
  <c r="G182" i="2" a="1"/>
  <c r="G182" i="2" s="1"/>
  <c r="I182" i="2" s="1"/>
  <c r="G183" i="2" a="1"/>
  <c r="G183" i="2" s="1"/>
  <c r="I183" i="2" s="1"/>
  <c r="G184" i="2" a="1"/>
  <c r="G184" i="2" s="1"/>
  <c r="G185" i="2" a="1"/>
  <c r="G185" i="2" s="1"/>
  <c r="G186" i="2" a="1"/>
  <c r="G186" i="2" s="1"/>
  <c r="I186" i="2" s="1"/>
  <c r="G187" i="2" a="1"/>
  <c r="G187" i="2" s="1"/>
  <c r="I187" i="2" s="1"/>
  <c r="G188" i="2" a="1"/>
  <c r="G188" i="2" s="1"/>
  <c r="G189" i="2" a="1"/>
  <c r="G189" i="2" s="1"/>
  <c r="G190" i="2" a="1"/>
  <c r="G190" i="2" s="1"/>
  <c r="I190" i="2" s="1"/>
  <c r="G191" i="2" a="1"/>
  <c r="G191" i="2" s="1"/>
  <c r="I191" i="2" s="1"/>
  <c r="G192" i="2" a="1"/>
  <c r="G192" i="2" s="1"/>
  <c r="G193" i="2" a="1"/>
  <c r="G193" i="2" s="1"/>
  <c r="F2" i="2" a="1"/>
  <c r="F2" i="2" s="1"/>
  <c r="F3" i="2" a="1"/>
  <c r="F3" i="2" s="1"/>
  <c r="F4" i="2" a="1"/>
  <c r="F4" i="2" s="1"/>
  <c r="F5" i="2" a="1"/>
  <c r="F5" i="2" s="1"/>
  <c r="F6" i="2" a="1"/>
  <c r="F6" i="2" s="1"/>
  <c r="F7" i="2" a="1"/>
  <c r="F7" i="2" s="1"/>
  <c r="F8" i="2" a="1"/>
  <c r="F8" i="2" s="1"/>
  <c r="F9" i="2" a="1"/>
  <c r="F9" i="2" s="1"/>
  <c r="F10" i="2" a="1"/>
  <c r="F10" i="2" s="1"/>
  <c r="F11" i="2" a="1"/>
  <c r="F11" i="2" s="1"/>
  <c r="F12" i="2" a="1"/>
  <c r="F12" i="2" s="1"/>
  <c r="F13" i="2" a="1"/>
  <c r="F13" i="2" s="1"/>
  <c r="F14" i="2" a="1"/>
  <c r="F14" i="2" s="1"/>
  <c r="F15" i="2" a="1"/>
  <c r="F15" i="2" s="1"/>
  <c r="F16" i="2" a="1"/>
  <c r="F16" i="2" s="1"/>
  <c r="F17" i="2" a="1"/>
  <c r="F17" i="2" s="1"/>
  <c r="F18" i="2" a="1"/>
  <c r="F18" i="2" s="1"/>
  <c r="F19" i="2" a="1"/>
  <c r="F19" i="2" s="1"/>
  <c r="F20" i="2" a="1"/>
  <c r="F20" i="2" s="1"/>
  <c r="F21" i="2" a="1"/>
  <c r="F21" i="2" s="1"/>
  <c r="F22" i="2" a="1"/>
  <c r="F22" i="2" s="1"/>
  <c r="F23" i="2" a="1"/>
  <c r="F23" i="2" s="1"/>
  <c r="F24" i="2" a="1"/>
  <c r="F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F51" i="2" a="1"/>
  <c r="F51" i="2" s="1"/>
  <c r="F52" i="2" a="1"/>
  <c r="F52" i="2" s="1"/>
  <c r="F53" i="2" a="1"/>
  <c r="F53" i="2" s="1"/>
  <c r="F54" i="2" a="1"/>
  <c r="F54" i="2" s="1"/>
  <c r="F55" i="2" a="1"/>
  <c r="F55" i="2" s="1"/>
  <c r="F56" i="2" a="1"/>
  <c r="F56" i="2" s="1"/>
  <c r="F57" i="2" a="1"/>
  <c r="F57" i="2" s="1"/>
  <c r="F58" i="2" a="1"/>
  <c r="F58" i="2" s="1"/>
  <c r="F59" i="2" a="1"/>
  <c r="F59" i="2" s="1"/>
  <c r="F60" i="2" a="1"/>
  <c r="F60" i="2" s="1"/>
  <c r="F61" i="2" a="1"/>
  <c r="F61" i="2" s="1"/>
  <c r="F62" i="2" a="1"/>
  <c r="F62" i="2" s="1"/>
  <c r="F63" i="2" a="1"/>
  <c r="F63" i="2" s="1"/>
  <c r="F64" i="2" a="1"/>
  <c r="F64" i="2" s="1"/>
  <c r="F65" i="2" a="1"/>
  <c r="F65" i="2" s="1"/>
  <c r="F66" i="2" a="1"/>
  <c r="F66" i="2" s="1"/>
  <c r="F67" i="2" a="1"/>
  <c r="F67" i="2" s="1"/>
  <c r="F68" i="2" a="1"/>
  <c r="F68" i="2" s="1"/>
  <c r="F69" i="2" a="1"/>
  <c r="F69" i="2" s="1"/>
  <c r="F70" i="2" a="1"/>
  <c r="F70" i="2" s="1"/>
  <c r="F71" i="2" a="1"/>
  <c r="F71" i="2" s="1"/>
  <c r="F72" i="2" a="1"/>
  <c r="F72" i="2" s="1"/>
  <c r="F73" i="2" a="1"/>
  <c r="F73" i="2" s="1"/>
  <c r="F74" i="2" a="1"/>
  <c r="F74" i="2" s="1"/>
  <c r="F75" i="2" a="1"/>
  <c r="F75" i="2" s="1"/>
  <c r="F76" i="2" a="1"/>
  <c r="F76" i="2" s="1"/>
  <c r="F77" i="2" a="1"/>
  <c r="F77" i="2" s="1"/>
  <c r="F78" i="2" a="1"/>
  <c r="F78" i="2" s="1"/>
  <c r="F79" i="2" a="1"/>
  <c r="F79" i="2" s="1"/>
  <c r="F80" i="2" a="1"/>
  <c r="F80" i="2" s="1"/>
  <c r="F81" i="2" a="1"/>
  <c r="F81" i="2" s="1"/>
  <c r="F82" i="2" a="1"/>
  <c r="F82" i="2" s="1"/>
  <c r="F83" i="2" a="1"/>
  <c r="F83" i="2" s="1"/>
  <c r="F84" i="2" a="1"/>
  <c r="F84" i="2" s="1"/>
  <c r="F85" i="2" a="1"/>
  <c r="F85" i="2" s="1"/>
  <c r="F86" i="2" a="1"/>
  <c r="F86" i="2" s="1"/>
  <c r="F87" i="2" a="1"/>
  <c r="F87" i="2" s="1"/>
  <c r="F88" i="2" a="1"/>
  <c r="F88" i="2" s="1"/>
  <c r="F89" i="2" a="1"/>
  <c r="F89" i="2" s="1"/>
  <c r="F90" i="2" a="1"/>
  <c r="F90" i="2" s="1"/>
  <c r="F91" i="2" a="1"/>
  <c r="F91" i="2" s="1"/>
  <c r="F92" i="2" a="1"/>
  <c r="F92" i="2" s="1"/>
  <c r="F93" i="2" a="1"/>
  <c r="F93" i="2" s="1"/>
  <c r="F94" i="2" a="1"/>
  <c r="F94" i="2" s="1"/>
  <c r="F95" i="2" a="1"/>
  <c r="F95" i="2" s="1"/>
  <c r="F96" i="2" a="1"/>
  <c r="F96" i="2" s="1"/>
  <c r="F97" i="2" a="1"/>
  <c r="F97" i="2" s="1"/>
  <c r="F98" i="2" a="1"/>
  <c r="F98" i="2" s="1"/>
  <c r="F99" i="2" a="1"/>
  <c r="F99" i="2" s="1"/>
  <c r="F100" i="2" a="1"/>
  <c r="F100" i="2" s="1"/>
  <c r="F101" i="2" a="1"/>
  <c r="F101" i="2" s="1"/>
  <c r="F102" i="2" a="1"/>
  <c r="F102" i="2" s="1"/>
  <c r="F103" i="2" a="1"/>
  <c r="F103" i="2" s="1"/>
  <c r="F104" i="2" a="1"/>
  <c r="F104" i="2" s="1"/>
  <c r="F105" i="2" a="1"/>
  <c r="F105" i="2" s="1"/>
  <c r="F106" i="2" a="1"/>
  <c r="F106" i="2" s="1"/>
  <c r="F107" i="2" a="1"/>
  <c r="F107" i="2" s="1"/>
  <c r="F108" i="2" a="1"/>
  <c r="F108" i="2" s="1"/>
  <c r="F109" i="2" a="1"/>
  <c r="F109" i="2" s="1"/>
  <c r="F110" i="2" a="1"/>
  <c r="F110" i="2" s="1"/>
  <c r="F111" i="2" a="1"/>
  <c r="F111" i="2" s="1"/>
  <c r="F112" i="2" a="1"/>
  <c r="F112" i="2" s="1"/>
  <c r="F113" i="2" a="1"/>
  <c r="F113" i="2" s="1"/>
  <c r="F114" i="2" a="1"/>
  <c r="F114" i="2" s="1"/>
  <c r="F115" i="2" a="1"/>
  <c r="F115" i="2" s="1"/>
  <c r="F116" i="2" a="1"/>
  <c r="F116" i="2" s="1"/>
  <c r="F117" i="2" a="1"/>
  <c r="F117" i="2" s="1"/>
  <c r="F118" i="2" a="1"/>
  <c r="F118" i="2" s="1"/>
  <c r="F119" i="2" a="1"/>
  <c r="F119" i="2" s="1"/>
  <c r="F120" i="2" a="1"/>
  <c r="F120" i="2" s="1"/>
  <c r="F121" i="2" a="1"/>
  <c r="F121" i="2" s="1"/>
  <c r="F122" i="2" a="1"/>
  <c r="F122" i="2" s="1"/>
  <c r="F123" i="2" a="1"/>
  <c r="F123" i="2" s="1"/>
  <c r="F124" i="2" a="1"/>
  <c r="F124" i="2" s="1"/>
  <c r="F125" i="2" a="1"/>
  <c r="F125" i="2" s="1"/>
  <c r="F126" i="2" a="1"/>
  <c r="F126" i="2" s="1"/>
  <c r="F127" i="2" a="1"/>
  <c r="F127" i="2" s="1"/>
  <c r="F128" i="2" a="1"/>
  <c r="F128" i="2" s="1"/>
  <c r="F129" i="2" a="1"/>
  <c r="F129" i="2" s="1"/>
  <c r="F130" i="2" a="1"/>
  <c r="F130" i="2" s="1"/>
  <c r="F131" i="2" a="1"/>
  <c r="F131" i="2" s="1"/>
  <c r="F132" i="2" a="1"/>
  <c r="F132" i="2" s="1"/>
  <c r="F133" i="2" a="1"/>
  <c r="F133" i="2" s="1"/>
  <c r="F134" i="2" a="1"/>
  <c r="F134" i="2" s="1"/>
  <c r="F135" i="2" a="1"/>
  <c r="F135" i="2" s="1"/>
  <c r="F136" i="2" a="1"/>
  <c r="F136" i="2" s="1"/>
  <c r="F137" i="2" a="1"/>
  <c r="F137" i="2" s="1"/>
  <c r="F138" i="2" a="1"/>
  <c r="F138" i="2" s="1"/>
  <c r="F139" i="2" a="1"/>
  <c r="F139" i="2" s="1"/>
  <c r="F140" i="2" a="1"/>
  <c r="F140" i="2" s="1"/>
  <c r="F141" i="2" a="1"/>
  <c r="F141" i="2" s="1"/>
  <c r="F142" i="2" a="1"/>
  <c r="F142" i="2" s="1"/>
  <c r="F143" i="2" a="1"/>
  <c r="F143" i="2" s="1"/>
  <c r="F144" i="2" a="1"/>
  <c r="F144" i="2" s="1"/>
  <c r="F145" i="2" a="1"/>
  <c r="F145" i="2" s="1"/>
  <c r="F146" i="2" a="1"/>
  <c r="F146" i="2" s="1"/>
  <c r="F147" i="2" a="1"/>
  <c r="F147" i="2" s="1"/>
  <c r="F148" i="2" a="1"/>
  <c r="F148" i="2" s="1"/>
  <c r="F149" i="2" a="1"/>
  <c r="F149" i="2" s="1"/>
  <c r="F150" i="2" a="1"/>
  <c r="F150" i="2" s="1"/>
  <c r="F151" i="2" a="1"/>
  <c r="F151" i="2" s="1"/>
  <c r="F152" i="2" a="1"/>
  <c r="F152" i="2" s="1"/>
  <c r="F153" i="2" a="1"/>
  <c r="F153" i="2" s="1"/>
  <c r="F154" i="2" a="1"/>
  <c r="F154" i="2" s="1"/>
  <c r="F155" i="2" a="1"/>
  <c r="F155" i="2" s="1"/>
  <c r="F156" i="2" a="1"/>
  <c r="F156" i="2" s="1"/>
  <c r="F157" i="2" a="1"/>
  <c r="F157" i="2" s="1"/>
  <c r="F158" i="2" a="1"/>
  <c r="F158" i="2" s="1"/>
  <c r="F159" i="2" a="1"/>
  <c r="F159" i="2" s="1"/>
  <c r="F160" i="2" a="1"/>
  <c r="F160" i="2" s="1"/>
  <c r="F161" i="2" a="1"/>
  <c r="F161" i="2" s="1"/>
  <c r="F162" i="2" a="1"/>
  <c r="F162" i="2" s="1"/>
  <c r="F163" i="2" a="1"/>
  <c r="F163" i="2" s="1"/>
  <c r="F164" i="2" a="1"/>
  <c r="F164" i="2" s="1"/>
  <c r="F165" i="2" a="1"/>
  <c r="F165" i="2" s="1"/>
  <c r="F166" i="2" a="1"/>
  <c r="F166" i="2" s="1"/>
  <c r="F167" i="2" a="1"/>
  <c r="F167" i="2" s="1"/>
  <c r="F168" i="2" a="1"/>
  <c r="F168" i="2" s="1"/>
  <c r="F169" i="2" a="1"/>
  <c r="F169" i="2" s="1"/>
  <c r="F170" i="2" a="1"/>
  <c r="F170" i="2" s="1"/>
  <c r="F171" i="2" a="1"/>
  <c r="F171" i="2" s="1"/>
  <c r="F172" i="2" a="1"/>
  <c r="F172" i="2" s="1"/>
  <c r="F173" i="2" a="1"/>
  <c r="F173" i="2" s="1"/>
  <c r="F174" i="2" a="1"/>
  <c r="F174" i="2" s="1"/>
  <c r="F175" i="2" a="1"/>
  <c r="F175" i="2" s="1"/>
  <c r="F176" i="2" a="1"/>
  <c r="F176" i="2" s="1"/>
  <c r="F177" i="2" a="1"/>
  <c r="F177" i="2" s="1"/>
  <c r="F178" i="2" a="1"/>
  <c r="F178" i="2" s="1"/>
  <c r="F179" i="2" a="1"/>
  <c r="F179" i="2" s="1"/>
  <c r="F180" i="2" a="1"/>
  <c r="F180" i="2" s="1"/>
  <c r="F181" i="2" a="1"/>
  <c r="F181" i="2" s="1"/>
  <c r="F182" i="2" a="1"/>
  <c r="F182" i="2" s="1"/>
  <c r="F183" i="2" a="1"/>
  <c r="F183" i="2" s="1"/>
  <c r="F184" i="2" a="1"/>
  <c r="F184" i="2" s="1"/>
  <c r="F185" i="2" a="1"/>
  <c r="F185" i="2" s="1"/>
  <c r="F186" i="2" a="1"/>
  <c r="F186" i="2" s="1"/>
  <c r="F187" i="2" a="1"/>
  <c r="F187" i="2" s="1"/>
  <c r="F188" i="2" a="1"/>
  <c r="F188" i="2" s="1"/>
  <c r="F189" i="2" a="1"/>
  <c r="F189" i="2" s="1"/>
  <c r="F190" i="2" a="1"/>
  <c r="F190" i="2" s="1"/>
  <c r="F191" i="2" a="1"/>
  <c r="F191" i="2" s="1"/>
  <c r="F192" i="2" a="1"/>
  <c r="F192" i="2" s="1"/>
  <c r="F193" i="2" a="1"/>
  <c r="F193" i="2" s="1"/>
  <c r="E2" i="2" a="1"/>
  <c r="E2" i="2" s="1"/>
  <c r="E3" i="2" a="1"/>
  <c r="E3" i="2" s="1"/>
  <c r="E4" i="2" a="1"/>
  <c r="E4" i="2" s="1"/>
  <c r="E5" i="2" a="1"/>
  <c r="E5" i="2" s="1"/>
  <c r="E6" i="2" a="1"/>
  <c r="E6" i="2" s="1"/>
  <c r="E7" i="2" a="1"/>
  <c r="E7" i="2" s="1"/>
  <c r="L7" i="2" s="1"/>
  <c r="Z7" i="2" s="1"/>
  <c r="E8" i="2" a="1"/>
  <c r="E8" i="2" s="1"/>
  <c r="L8" i="2" s="1"/>
  <c r="Z8" i="2" s="1"/>
  <c r="E9" i="2" a="1"/>
  <c r="E9" i="2" s="1"/>
  <c r="E10" i="2" a="1"/>
  <c r="E10" i="2" s="1"/>
  <c r="E11" i="2" a="1"/>
  <c r="E11" i="2" s="1"/>
  <c r="E12" i="2" a="1"/>
  <c r="E1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L19" i="2" s="1"/>
  <c r="X19" i="2" s="1"/>
  <c r="E20" i="2" a="1"/>
  <c r="E20" i="2" s="1"/>
  <c r="L20" i="2" s="1"/>
  <c r="X20" i="2" s="1"/>
  <c r="E21" i="2" a="1"/>
  <c r="E21" i="2" s="1"/>
  <c r="E22" i="2" a="1"/>
  <c r="E22" i="2" s="1"/>
  <c r="E23" i="2" a="1"/>
  <c r="E2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9" i="2" a="1"/>
  <c r="E29" i="2" s="1"/>
  <c r="E30" i="2" a="1"/>
  <c r="E30" i="2" s="1"/>
  <c r="E31" i="2" a="1"/>
  <c r="E31" i="2" s="1"/>
  <c r="L31" i="2" s="1"/>
  <c r="Y31" i="2" s="1"/>
  <c r="E32" i="2" a="1"/>
  <c r="E32" i="2" s="1"/>
  <c r="L32" i="2" s="1"/>
  <c r="Y32" i="2" s="1"/>
  <c r="E33" i="2" a="1"/>
  <c r="E33" i="2" s="1"/>
  <c r="E34" i="2" a="1"/>
  <c r="E34" i="2" s="1"/>
  <c r="E35" i="2" a="1"/>
  <c r="E35" i="2" s="1"/>
  <c r="E36" i="2" a="1"/>
  <c r="E36" i="2" s="1"/>
  <c r="E37" i="2" a="1"/>
  <c r="E37" i="2" s="1"/>
  <c r="E38" i="2" a="1"/>
  <c r="E38" i="2" s="1"/>
  <c r="E39" i="2" a="1"/>
  <c r="E39" i="2" s="1"/>
  <c r="E40" i="2" a="1"/>
  <c r="E40" i="2" s="1"/>
  <c r="E41" i="2" a="1"/>
  <c r="E41" i="2" s="1"/>
  <c r="E42" i="2" a="1"/>
  <c r="E42" i="2" s="1"/>
  <c r="E43" i="2" a="1"/>
  <c r="E43" i="2" s="1"/>
  <c r="L43" i="2" s="1"/>
  <c r="Z43" i="2" s="1"/>
  <c r="E44" i="2" a="1"/>
  <c r="E44" i="2" s="1"/>
  <c r="O44" i="2" s="1"/>
  <c r="E45" i="2" a="1"/>
  <c r="E45" i="2" s="1"/>
  <c r="E46" i="2" a="1"/>
  <c r="E46" i="2" s="1"/>
  <c r="E47" i="2" a="1"/>
  <c r="E47" i="2" s="1"/>
  <c r="E48" i="2" a="1"/>
  <c r="E48" i="2" s="1"/>
  <c r="E49" i="2" a="1"/>
  <c r="E49" i="2" s="1"/>
  <c r="E50" i="2" a="1"/>
  <c r="E50" i="2" s="1"/>
  <c r="E51" i="2" a="1"/>
  <c r="E51" i="2" s="1"/>
  <c r="E52" i="2" a="1"/>
  <c r="E52" i="2" s="1"/>
  <c r="E53" i="2" a="1"/>
  <c r="E53" i="2" s="1"/>
  <c r="E54" i="2" a="1"/>
  <c r="E54" i="2" s="1"/>
  <c r="E55" i="2" a="1"/>
  <c r="E55" i="2" s="1"/>
  <c r="L55" i="2" s="1"/>
  <c r="X55" i="2" s="1"/>
  <c r="E56" i="2" a="1"/>
  <c r="E56" i="2" s="1"/>
  <c r="N56" i="2" s="1"/>
  <c r="E57" i="2" a="1"/>
  <c r="E57" i="2" s="1"/>
  <c r="E58" i="2" a="1"/>
  <c r="E58" i="2" s="1"/>
  <c r="E59" i="2" a="1"/>
  <c r="E59" i="2" s="1"/>
  <c r="E60" i="2" a="1"/>
  <c r="E60" i="2" s="1"/>
  <c r="E61" i="2" a="1"/>
  <c r="E61" i="2" s="1"/>
  <c r="E62" i="2" a="1"/>
  <c r="E62" i="2" s="1"/>
  <c r="E63" i="2" a="1"/>
  <c r="E63" i="2" s="1"/>
  <c r="E64" i="2" a="1"/>
  <c r="E64" i="2" s="1"/>
  <c r="E65" i="2" a="1"/>
  <c r="E65" i="2" s="1"/>
  <c r="E66" i="2" a="1"/>
  <c r="E66" i="2" s="1"/>
  <c r="E67" i="2" a="1"/>
  <c r="E67" i="2" s="1"/>
  <c r="L67" i="2" s="1"/>
  <c r="Y67" i="2" s="1"/>
  <c r="E68" i="2" a="1"/>
  <c r="E68" i="2" s="1"/>
  <c r="N68" i="2" s="1"/>
  <c r="E69" i="2" a="1"/>
  <c r="E69" i="2" s="1"/>
  <c r="E70" i="2" a="1"/>
  <c r="E70" i="2" s="1"/>
  <c r="E71" i="2" a="1"/>
  <c r="E71" i="2" s="1"/>
  <c r="E72" i="2" a="1"/>
  <c r="E72" i="2" s="1"/>
  <c r="E73" i="2" a="1"/>
  <c r="E73" i="2" s="1"/>
  <c r="E74" i="2" a="1"/>
  <c r="E74" i="2" s="1"/>
  <c r="E75" i="2" a="1"/>
  <c r="E75" i="2" s="1"/>
  <c r="E76" i="2" a="1"/>
  <c r="E76" i="2" s="1"/>
  <c r="E77" i="2" a="1"/>
  <c r="E77" i="2" s="1"/>
  <c r="E78" i="2" a="1"/>
  <c r="E78" i="2" s="1"/>
  <c r="E79" i="2" a="1"/>
  <c r="E79" i="2" s="1"/>
  <c r="N79" i="2" s="1"/>
  <c r="E80" i="2" a="1"/>
  <c r="E80" i="2" s="1"/>
  <c r="N80" i="2" s="1"/>
  <c r="E81" i="2" a="1"/>
  <c r="E81" i="2" s="1"/>
  <c r="E82" i="2" a="1"/>
  <c r="E82" i="2" s="1"/>
  <c r="E83" i="2" a="1"/>
  <c r="E83" i="2" s="1"/>
  <c r="E84" i="2" a="1"/>
  <c r="E84" i="2" s="1"/>
  <c r="E85" i="2" a="1"/>
  <c r="E85" i="2" s="1"/>
  <c r="E86" i="2" a="1"/>
  <c r="E86" i="2" s="1"/>
  <c r="E87" i="2" a="1"/>
  <c r="E87" i="2" s="1"/>
  <c r="E88" i="2" a="1"/>
  <c r="E88" i="2" s="1"/>
  <c r="E89" i="2" a="1"/>
  <c r="E89" i="2" s="1"/>
  <c r="E90" i="2" a="1"/>
  <c r="E90" i="2" s="1"/>
  <c r="E91" i="2" a="1"/>
  <c r="E91" i="2" s="1"/>
  <c r="N91" i="2" s="1"/>
  <c r="E92" i="2" a="1"/>
  <c r="E92" i="2" s="1"/>
  <c r="N92" i="2" s="1"/>
  <c r="E93" i="2" a="1"/>
  <c r="E93" i="2" s="1"/>
  <c r="E94" i="2" a="1"/>
  <c r="E94" i="2" s="1"/>
  <c r="E95" i="2" a="1"/>
  <c r="E95" i="2" s="1"/>
  <c r="E96" i="2" a="1"/>
  <c r="E96" i="2" s="1"/>
  <c r="E97" i="2" a="1"/>
  <c r="E97" i="2" s="1"/>
  <c r="E98" i="2" a="1"/>
  <c r="E98" i="2" s="1"/>
  <c r="E99" i="2" a="1"/>
  <c r="E99" i="2" s="1"/>
  <c r="E100" i="2" a="1"/>
  <c r="E100" i="2" s="1"/>
  <c r="E101" i="2" a="1"/>
  <c r="E101" i="2" s="1"/>
  <c r="E102" i="2" a="1"/>
  <c r="E102" i="2" s="1"/>
  <c r="E103" i="2" a="1"/>
  <c r="E103" i="2" s="1"/>
  <c r="O103" i="2" s="1"/>
  <c r="E104" i="2" a="1"/>
  <c r="E104" i="2" s="1"/>
  <c r="O104" i="2" s="1"/>
  <c r="E105" i="2" a="1"/>
  <c r="E105" i="2" s="1"/>
  <c r="E106" i="2" a="1"/>
  <c r="E106" i="2" s="1"/>
  <c r="E107" i="2" a="1"/>
  <c r="E107" i="2" s="1"/>
  <c r="E108" i="2" a="1"/>
  <c r="E108" i="2" s="1"/>
  <c r="E109" i="2" a="1"/>
  <c r="E109" i="2" s="1"/>
  <c r="E110" i="2" a="1"/>
  <c r="E110" i="2" s="1"/>
  <c r="E111" i="2" a="1"/>
  <c r="E111" i="2" s="1"/>
  <c r="E112" i="2" a="1"/>
  <c r="E112" i="2" s="1"/>
  <c r="E113" i="2" a="1"/>
  <c r="E113" i="2" s="1"/>
  <c r="E114" i="2" a="1"/>
  <c r="E114" i="2" s="1"/>
  <c r="E115" i="2" a="1"/>
  <c r="E115" i="2" s="1"/>
  <c r="O115" i="2" s="1"/>
  <c r="E116" i="2" a="1"/>
  <c r="E116" i="2" s="1"/>
  <c r="L116" i="2" s="1"/>
  <c r="T116" i="2" s="1"/>
  <c r="E117" i="2" a="1"/>
  <c r="E117" i="2" s="1"/>
  <c r="E118" i="2" a="1"/>
  <c r="E118" i="2" s="1"/>
  <c r="E119" i="2" a="1"/>
  <c r="E119" i="2" s="1"/>
  <c r="E120" i="2" a="1"/>
  <c r="E120" i="2" s="1"/>
  <c r="E121" i="2" a="1"/>
  <c r="E121" i="2" s="1"/>
  <c r="E122" i="2" a="1"/>
  <c r="E122" i="2" s="1"/>
  <c r="E123" i="2" a="1"/>
  <c r="E123" i="2" s="1"/>
  <c r="E124" i="2" a="1"/>
  <c r="E124" i="2" s="1"/>
  <c r="E125" i="2" a="1"/>
  <c r="E125" i="2" s="1"/>
  <c r="E126" i="2" a="1"/>
  <c r="E126" i="2" s="1"/>
  <c r="E127" i="2" a="1"/>
  <c r="E127" i="2" s="1"/>
  <c r="N127" i="2" s="1"/>
  <c r="E128" i="2" a="1"/>
  <c r="E128" i="2" s="1"/>
  <c r="L128" i="2" s="1"/>
  <c r="X128" i="2" s="1"/>
  <c r="E129" i="2" a="1"/>
  <c r="E129" i="2" s="1"/>
  <c r="E130" i="2" a="1"/>
  <c r="E130" i="2" s="1"/>
  <c r="E131" i="2" a="1"/>
  <c r="E131" i="2" s="1"/>
  <c r="E132" i="2" a="1"/>
  <c r="E132" i="2" s="1"/>
  <c r="E133" i="2" a="1"/>
  <c r="E133" i="2" s="1"/>
  <c r="E134" i="2" a="1"/>
  <c r="E134" i="2" s="1"/>
  <c r="E135" i="2" a="1"/>
  <c r="E135" i="2" s="1"/>
  <c r="E136" i="2" a="1"/>
  <c r="E136" i="2" s="1"/>
  <c r="E137" i="2" a="1"/>
  <c r="E137" i="2" s="1"/>
  <c r="E138" i="2" a="1"/>
  <c r="E138" i="2" s="1"/>
  <c r="O138" i="2" s="1"/>
  <c r="E139" i="2" a="1"/>
  <c r="E139" i="2" s="1"/>
  <c r="N139" i="2" s="1"/>
  <c r="E140" i="2" a="1"/>
  <c r="E140" i="2" s="1"/>
  <c r="L140" i="2" s="1"/>
  <c r="Y140" i="2" s="1"/>
  <c r="E141" i="2" a="1"/>
  <c r="E141" i="2" s="1"/>
  <c r="E142" i="2" a="1"/>
  <c r="E142" i="2" s="1"/>
  <c r="O142" i="2" s="1"/>
  <c r="E143" i="2" a="1"/>
  <c r="E143" i="2" s="1"/>
  <c r="E144" i="2" a="1"/>
  <c r="E144" i="2" s="1"/>
  <c r="O144" i="2" s="1"/>
  <c r="E145" i="2" a="1"/>
  <c r="E145" i="2" s="1"/>
  <c r="N145" i="2" s="1"/>
  <c r="E146" i="2" a="1"/>
  <c r="E146" i="2" s="1"/>
  <c r="E147" i="2" a="1"/>
  <c r="E147" i="2" s="1"/>
  <c r="E148" i="2" a="1"/>
  <c r="E148" i="2" s="1"/>
  <c r="E149" i="2" a="1"/>
  <c r="E149" i="2" s="1"/>
  <c r="E150" i="2" a="1"/>
  <c r="E150" i="2" s="1"/>
  <c r="E151" i="2" a="1"/>
  <c r="E151" i="2" s="1"/>
  <c r="L151" i="2" s="1"/>
  <c r="Z151" i="2" s="1"/>
  <c r="E152" i="2" a="1"/>
  <c r="E152" i="2" s="1"/>
  <c r="L152" i="2" s="1"/>
  <c r="T152" i="2" s="1"/>
  <c r="E153" i="2" a="1"/>
  <c r="E153" i="2" s="1"/>
  <c r="E154" i="2" a="1"/>
  <c r="E154" i="2" s="1"/>
  <c r="E155" i="2" a="1"/>
  <c r="E155" i="2" s="1"/>
  <c r="E156" i="2" a="1"/>
  <c r="E156" i="2" s="1"/>
  <c r="E157" i="2" a="1"/>
  <c r="E157" i="2" s="1"/>
  <c r="E158" i="2" a="1"/>
  <c r="E158" i="2" s="1"/>
  <c r="N158" i="2" s="1"/>
  <c r="E159" i="2" a="1"/>
  <c r="E159" i="2" s="1"/>
  <c r="N159" i="2" s="1"/>
  <c r="E160" i="2" a="1"/>
  <c r="E160" i="2" s="1"/>
  <c r="E161" i="2" a="1"/>
  <c r="E161" i="2" s="1"/>
  <c r="E162" i="2" a="1"/>
  <c r="E162" i="2" s="1"/>
  <c r="E163" i="2" a="1"/>
  <c r="E163" i="2" s="1"/>
  <c r="L163" i="2" s="1"/>
  <c r="X163" i="2" s="1"/>
  <c r="E164" i="2" a="1"/>
  <c r="E164" i="2" s="1"/>
  <c r="L164" i="2" s="1"/>
  <c r="X164" i="2" s="1"/>
  <c r="E165" i="2" a="1"/>
  <c r="E165" i="2" s="1"/>
  <c r="E166" i="2" a="1"/>
  <c r="E166" i="2" s="1"/>
  <c r="E167" i="2" a="1"/>
  <c r="E167" i="2" s="1"/>
  <c r="N167" i="2" s="1"/>
  <c r="E168" i="2" a="1"/>
  <c r="E168" i="2" s="1"/>
  <c r="O168" i="2" s="1"/>
  <c r="E169" i="2" a="1"/>
  <c r="E169" i="2" s="1"/>
  <c r="N169" i="2" s="1"/>
  <c r="E170" i="2" a="1"/>
  <c r="E170" i="2" s="1"/>
  <c r="E171" i="2" a="1"/>
  <c r="E171" i="2" s="1"/>
  <c r="E172" i="2" a="1"/>
  <c r="E172" i="2" s="1"/>
  <c r="E173" i="2" a="1"/>
  <c r="E173" i="2" s="1"/>
  <c r="E174" i="2" a="1"/>
  <c r="E174" i="2" s="1"/>
  <c r="E175" i="2" a="1"/>
  <c r="E175" i="2" s="1"/>
  <c r="L175" i="2" s="1"/>
  <c r="Y175" i="2" s="1"/>
  <c r="E176" i="2" a="1"/>
  <c r="E176" i="2" s="1"/>
  <c r="L176" i="2" s="1"/>
  <c r="Y176" i="2" s="1"/>
  <c r="E177" i="2" a="1"/>
  <c r="E177" i="2" s="1"/>
  <c r="E178" i="2" a="1"/>
  <c r="E178" i="2" s="1"/>
  <c r="E179" i="2" a="1"/>
  <c r="E179" i="2" s="1"/>
  <c r="E180" i="2" a="1"/>
  <c r="E180" i="2" s="1"/>
  <c r="E181" i="2" a="1"/>
  <c r="E181" i="2" s="1"/>
  <c r="E182" i="2" a="1"/>
  <c r="E182" i="2" s="1"/>
  <c r="N182" i="2" s="1"/>
  <c r="E183" i="2" a="1"/>
  <c r="E183" i="2" s="1"/>
  <c r="N183" i="2" s="1"/>
  <c r="E184" i="2" a="1"/>
  <c r="E184" i="2" s="1"/>
  <c r="E185" i="2" a="1"/>
  <c r="E185" i="2" s="1"/>
  <c r="E186" i="2" a="1"/>
  <c r="E186" i="2" s="1"/>
  <c r="E187" i="2" a="1"/>
  <c r="E187" i="2" s="1"/>
  <c r="L187" i="2" s="1"/>
  <c r="Z187" i="2" s="1"/>
  <c r="E188" i="2" a="1"/>
  <c r="E188" i="2" s="1"/>
  <c r="L188" i="2" s="1"/>
  <c r="Z188" i="2" s="1"/>
  <c r="E189" i="2" a="1"/>
  <c r="E189" i="2" s="1"/>
  <c r="E190" i="2" a="1"/>
  <c r="E190" i="2" s="1"/>
  <c r="E191" i="2" a="1"/>
  <c r="E191" i="2" s="1"/>
  <c r="N191" i="2" s="1"/>
  <c r="E192" i="2" a="1"/>
  <c r="E192" i="2" s="1"/>
  <c r="N192" i="2" s="1"/>
  <c r="E193" i="2" a="1"/>
  <c r="E193" i="2" s="1"/>
  <c r="N193" i="2" s="1"/>
  <c r="D3" i="2" a="1"/>
  <c r="D3" i="2" s="1"/>
  <c r="D4" i="2" a="1"/>
  <c r="D4" i="2" s="1"/>
  <c r="D5" i="2" a="1"/>
  <c r="D5" i="2" s="1"/>
  <c r="D6" i="2" a="1"/>
  <c r="D6" i="2" s="1"/>
  <c r="D7" i="2" a="1"/>
  <c r="D7" i="2" s="1"/>
  <c r="D8" i="2" a="1"/>
  <c r="D8" i="2" s="1"/>
  <c r="D9" i="2" a="1"/>
  <c r="D9" i="2" s="1"/>
  <c r="D10" i="2" a="1"/>
  <c r="D10" i="2" s="1"/>
  <c r="D11" i="2" a="1"/>
  <c r="D11" i="2" s="1"/>
  <c r="D12" i="2" a="1"/>
  <c r="D12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D26" i="2" a="1"/>
  <c r="D26" i="2" s="1"/>
  <c r="D27" i="2" a="1"/>
  <c r="D27" i="2" s="1"/>
  <c r="D28" i="2" a="1"/>
  <c r="D28" i="2" s="1"/>
  <c r="D29" i="2" a="1"/>
  <c r="D29" i="2" s="1"/>
  <c r="D30" i="2" a="1"/>
  <c r="D30" i="2" s="1"/>
  <c r="D31" i="2" a="1"/>
  <c r="D31" i="2" s="1"/>
  <c r="D32" i="2" a="1"/>
  <c r="D32" i="2" s="1"/>
  <c r="D33" i="2" a="1"/>
  <c r="D33" i="2" s="1"/>
  <c r="D34" i="2" a="1"/>
  <c r="D34" i="2" s="1"/>
  <c r="D35" i="2" a="1"/>
  <c r="D35" i="2" s="1"/>
  <c r="D36" i="2" a="1"/>
  <c r="D36" i="2" s="1"/>
  <c r="D37" i="2" a="1"/>
  <c r="D37" i="2" s="1"/>
  <c r="D38" i="2" a="1"/>
  <c r="D38" i="2" s="1"/>
  <c r="D39" i="2" a="1"/>
  <c r="D39" i="2" s="1"/>
  <c r="D40" i="2" a="1"/>
  <c r="D40" i="2" s="1"/>
  <c r="D41" i="2" a="1"/>
  <c r="D41" i="2" s="1"/>
  <c r="D42" i="2" a="1"/>
  <c r="D42" i="2" s="1"/>
  <c r="D43" i="2" a="1"/>
  <c r="D43" i="2" s="1"/>
  <c r="D44" i="2" a="1"/>
  <c r="D44" i="2" s="1"/>
  <c r="D45" i="2" a="1"/>
  <c r="D45" i="2" s="1"/>
  <c r="D46" i="2" a="1"/>
  <c r="D46" i="2" s="1"/>
  <c r="D47" i="2" a="1"/>
  <c r="D47" i="2" s="1"/>
  <c r="D48" i="2" a="1"/>
  <c r="D48" i="2" s="1"/>
  <c r="D49" i="2" a="1"/>
  <c r="D49" i="2" s="1"/>
  <c r="D50" i="2" a="1"/>
  <c r="D50" i="2" s="1"/>
  <c r="D51" i="2" a="1"/>
  <c r="D51" i="2" s="1"/>
  <c r="D52" i="2" a="1"/>
  <c r="D52" i="2" s="1"/>
  <c r="D53" i="2" a="1"/>
  <c r="D53" i="2" s="1"/>
  <c r="D54" i="2" a="1"/>
  <c r="D54" i="2" s="1"/>
  <c r="D55" i="2" a="1"/>
  <c r="D55" i="2" s="1"/>
  <c r="D56" i="2" a="1"/>
  <c r="D56" i="2" s="1"/>
  <c r="D57" i="2" a="1"/>
  <c r="D57" i="2" s="1"/>
  <c r="D58" i="2" a="1"/>
  <c r="D58" i="2" s="1"/>
  <c r="D59" i="2" a="1"/>
  <c r="D59" i="2" s="1"/>
  <c r="D60" i="2" a="1"/>
  <c r="D60" i="2" s="1"/>
  <c r="D61" i="2" a="1"/>
  <c r="D61" i="2" s="1"/>
  <c r="D62" i="2" a="1"/>
  <c r="D62" i="2" s="1"/>
  <c r="D63" i="2" a="1"/>
  <c r="D63" i="2" s="1"/>
  <c r="D64" i="2" a="1"/>
  <c r="D64" i="2" s="1"/>
  <c r="D65" i="2" a="1"/>
  <c r="D65" i="2" s="1"/>
  <c r="D66" i="2" a="1"/>
  <c r="D66" i="2" s="1"/>
  <c r="D67" i="2" a="1"/>
  <c r="D67" i="2" s="1"/>
  <c r="D68" i="2" a="1"/>
  <c r="D68" i="2" s="1"/>
  <c r="D69" i="2" a="1"/>
  <c r="D69" i="2" s="1"/>
  <c r="D70" i="2" a="1"/>
  <c r="D70" i="2" s="1"/>
  <c r="D71" i="2" a="1"/>
  <c r="D71" i="2" s="1"/>
  <c r="D72" i="2" a="1"/>
  <c r="D72" i="2" s="1"/>
  <c r="D73" i="2" a="1"/>
  <c r="D73" i="2" s="1"/>
  <c r="D74" i="2" a="1"/>
  <c r="D74" i="2" s="1"/>
  <c r="D75" i="2" a="1"/>
  <c r="D75" i="2" s="1"/>
  <c r="D76" i="2" a="1"/>
  <c r="D76" i="2" s="1"/>
  <c r="D77" i="2" a="1"/>
  <c r="D77" i="2" s="1"/>
  <c r="D78" i="2" a="1"/>
  <c r="D78" i="2" s="1"/>
  <c r="D79" i="2" a="1"/>
  <c r="D79" i="2" s="1"/>
  <c r="D80" i="2" a="1"/>
  <c r="D80" i="2" s="1"/>
  <c r="D81" i="2" a="1"/>
  <c r="D81" i="2" s="1"/>
  <c r="D82" i="2" a="1"/>
  <c r="D82" i="2" s="1"/>
  <c r="D83" i="2" a="1"/>
  <c r="D83" i="2" s="1"/>
  <c r="D84" i="2" a="1"/>
  <c r="D84" i="2" s="1"/>
  <c r="D85" i="2" a="1"/>
  <c r="D85" i="2" s="1"/>
  <c r="D86" i="2" a="1"/>
  <c r="D86" i="2" s="1"/>
  <c r="D87" i="2" a="1"/>
  <c r="D87" i="2" s="1"/>
  <c r="D88" i="2" a="1"/>
  <c r="D88" i="2" s="1"/>
  <c r="D89" i="2" a="1"/>
  <c r="D89" i="2" s="1"/>
  <c r="D90" i="2" a="1"/>
  <c r="D90" i="2" s="1"/>
  <c r="D91" i="2" a="1"/>
  <c r="D91" i="2" s="1"/>
  <c r="D92" i="2" a="1"/>
  <c r="D92" i="2" s="1"/>
  <c r="D93" i="2" a="1"/>
  <c r="D93" i="2" s="1"/>
  <c r="D94" i="2" a="1"/>
  <c r="D94" i="2" s="1"/>
  <c r="D95" i="2" a="1"/>
  <c r="D95" i="2" s="1"/>
  <c r="D96" i="2" a="1"/>
  <c r="D96" i="2" s="1"/>
  <c r="D97" i="2" a="1"/>
  <c r="D97" i="2" s="1"/>
  <c r="D98" i="2" a="1"/>
  <c r="D98" i="2" s="1"/>
  <c r="D99" i="2" a="1"/>
  <c r="D99" i="2" s="1"/>
  <c r="D100" i="2" a="1"/>
  <c r="D100" i="2" s="1"/>
  <c r="D101" i="2" a="1"/>
  <c r="D101" i="2" s="1"/>
  <c r="D102" i="2" a="1"/>
  <c r="D102" i="2" s="1"/>
  <c r="D103" i="2" a="1"/>
  <c r="D103" i="2" s="1"/>
  <c r="D104" i="2" a="1"/>
  <c r="D104" i="2" s="1"/>
  <c r="D105" i="2" a="1"/>
  <c r="D105" i="2" s="1"/>
  <c r="D106" i="2" a="1"/>
  <c r="D106" i="2" s="1"/>
  <c r="D107" i="2" a="1"/>
  <c r="D107" i="2" s="1"/>
  <c r="D108" i="2" a="1"/>
  <c r="D108" i="2" s="1"/>
  <c r="D109" i="2" a="1"/>
  <c r="D109" i="2" s="1"/>
  <c r="D110" i="2" a="1"/>
  <c r="D110" i="2" s="1"/>
  <c r="D111" i="2" a="1"/>
  <c r="D111" i="2" s="1"/>
  <c r="D112" i="2" a="1"/>
  <c r="D112" i="2" s="1"/>
  <c r="D113" i="2" a="1"/>
  <c r="D113" i="2" s="1"/>
  <c r="D114" i="2" a="1"/>
  <c r="D114" i="2" s="1"/>
  <c r="D115" i="2" a="1"/>
  <c r="D115" i="2" s="1"/>
  <c r="D116" i="2" a="1"/>
  <c r="D116" i="2" s="1"/>
  <c r="D117" i="2" a="1"/>
  <c r="D117" i="2" s="1"/>
  <c r="D118" i="2" a="1"/>
  <c r="D118" i="2" s="1"/>
  <c r="D119" i="2" a="1"/>
  <c r="D119" i="2" s="1"/>
  <c r="D120" i="2" a="1"/>
  <c r="D120" i="2" s="1"/>
  <c r="D121" i="2" a="1"/>
  <c r="D121" i="2" s="1"/>
  <c r="D122" i="2" a="1"/>
  <c r="D122" i="2" s="1"/>
  <c r="D123" i="2" a="1"/>
  <c r="D123" i="2" s="1"/>
  <c r="D124" i="2" a="1"/>
  <c r="D124" i="2" s="1"/>
  <c r="D125" i="2" a="1"/>
  <c r="D125" i="2" s="1"/>
  <c r="D126" i="2" a="1"/>
  <c r="D126" i="2" s="1"/>
  <c r="D127" i="2" a="1"/>
  <c r="D127" i="2" s="1"/>
  <c r="D128" i="2" a="1"/>
  <c r="D128" i="2" s="1"/>
  <c r="D129" i="2" a="1"/>
  <c r="D129" i="2" s="1"/>
  <c r="D130" i="2" a="1"/>
  <c r="D130" i="2" s="1"/>
  <c r="D131" i="2" a="1"/>
  <c r="D131" i="2" s="1"/>
  <c r="D132" i="2" a="1"/>
  <c r="D132" i="2" s="1"/>
  <c r="D133" i="2" a="1"/>
  <c r="D133" i="2" s="1"/>
  <c r="D134" i="2" a="1"/>
  <c r="D134" i="2" s="1"/>
  <c r="D135" i="2" a="1"/>
  <c r="D135" i="2" s="1"/>
  <c r="D136" i="2" a="1"/>
  <c r="D136" i="2" s="1"/>
  <c r="D137" i="2" a="1"/>
  <c r="D137" i="2" s="1"/>
  <c r="D138" i="2" a="1"/>
  <c r="D138" i="2" s="1"/>
  <c r="D139" i="2" a="1"/>
  <c r="D139" i="2" s="1"/>
  <c r="D140" i="2" a="1"/>
  <c r="D140" i="2" s="1"/>
  <c r="D141" i="2" a="1"/>
  <c r="D141" i="2" s="1"/>
  <c r="D142" i="2" a="1"/>
  <c r="D142" i="2" s="1"/>
  <c r="D143" i="2" a="1"/>
  <c r="D143" i="2" s="1"/>
  <c r="D144" i="2" a="1"/>
  <c r="D144" i="2" s="1"/>
  <c r="D145" i="2" a="1"/>
  <c r="D145" i="2" s="1"/>
  <c r="D146" i="2" a="1"/>
  <c r="D146" i="2" s="1"/>
  <c r="D147" i="2" a="1"/>
  <c r="D147" i="2" s="1"/>
  <c r="D148" i="2" a="1"/>
  <c r="D148" i="2" s="1"/>
  <c r="D149" i="2" a="1"/>
  <c r="D149" i="2" s="1"/>
  <c r="D150" i="2" a="1"/>
  <c r="D150" i="2" s="1"/>
  <c r="D151" i="2" a="1"/>
  <c r="D151" i="2" s="1"/>
  <c r="D152" i="2" a="1"/>
  <c r="D152" i="2" s="1"/>
  <c r="D153" i="2" a="1"/>
  <c r="D153" i="2" s="1"/>
  <c r="D154" i="2" a="1"/>
  <c r="D154" i="2" s="1"/>
  <c r="D155" i="2" a="1"/>
  <c r="D155" i="2" s="1"/>
  <c r="D156" i="2" a="1"/>
  <c r="D156" i="2" s="1"/>
  <c r="D157" i="2" a="1"/>
  <c r="D157" i="2" s="1"/>
  <c r="D158" i="2" a="1"/>
  <c r="D158" i="2" s="1"/>
  <c r="D159" i="2" a="1"/>
  <c r="D159" i="2" s="1"/>
  <c r="D160" i="2" a="1"/>
  <c r="D160" i="2" s="1"/>
  <c r="D161" i="2" a="1"/>
  <c r="D161" i="2" s="1"/>
  <c r="D162" i="2" a="1"/>
  <c r="D162" i="2" s="1"/>
  <c r="D163" i="2" a="1"/>
  <c r="D163" i="2" s="1"/>
  <c r="D164" i="2" a="1"/>
  <c r="D164" i="2" s="1"/>
  <c r="D165" i="2" a="1"/>
  <c r="D165" i="2" s="1"/>
  <c r="D166" i="2" a="1"/>
  <c r="D166" i="2" s="1"/>
  <c r="D167" i="2" a="1"/>
  <c r="D167" i="2" s="1"/>
  <c r="D168" i="2" a="1"/>
  <c r="D168" i="2" s="1"/>
  <c r="D169" i="2" a="1"/>
  <c r="D169" i="2" s="1"/>
  <c r="D170" i="2" a="1"/>
  <c r="D170" i="2" s="1"/>
  <c r="D171" i="2" a="1"/>
  <c r="D171" i="2" s="1"/>
  <c r="D172" i="2" a="1"/>
  <c r="D172" i="2" s="1"/>
  <c r="D173" i="2" a="1"/>
  <c r="D173" i="2" s="1"/>
  <c r="D174" i="2" a="1"/>
  <c r="D174" i="2" s="1"/>
  <c r="D175" i="2" a="1"/>
  <c r="D175" i="2" s="1"/>
  <c r="D176" i="2" a="1"/>
  <c r="D176" i="2" s="1"/>
  <c r="D177" i="2" a="1"/>
  <c r="D177" i="2" s="1"/>
  <c r="D178" i="2" a="1"/>
  <c r="D178" i="2" s="1"/>
  <c r="D179" i="2" a="1"/>
  <c r="D179" i="2" s="1"/>
  <c r="D180" i="2" a="1"/>
  <c r="D180" i="2" s="1"/>
  <c r="D181" i="2" a="1"/>
  <c r="D181" i="2" s="1"/>
  <c r="D182" i="2" a="1"/>
  <c r="D182" i="2" s="1"/>
  <c r="D183" i="2" a="1"/>
  <c r="D183" i="2" s="1"/>
  <c r="D184" i="2" a="1"/>
  <c r="D184" i="2" s="1"/>
  <c r="D185" i="2" a="1"/>
  <c r="D185" i="2" s="1"/>
  <c r="D186" i="2" a="1"/>
  <c r="D186" i="2" s="1"/>
  <c r="D187" i="2" a="1"/>
  <c r="D187" i="2" s="1"/>
  <c r="D188" i="2" a="1"/>
  <c r="D188" i="2" s="1"/>
  <c r="D189" i="2" a="1"/>
  <c r="D189" i="2" s="1"/>
  <c r="D190" i="2" a="1"/>
  <c r="D190" i="2" s="1"/>
  <c r="D191" i="2" a="1"/>
  <c r="D191" i="2" s="1"/>
  <c r="D192" i="2" a="1"/>
  <c r="D192" i="2" s="1"/>
  <c r="D193" i="2" a="1"/>
  <c r="D193" i="2" s="1"/>
  <c r="C2" i="2" a="1"/>
  <c r="C2" i="2" s="1"/>
  <c r="C3" i="2" a="1"/>
  <c r="C3" i="2" s="1"/>
  <c r="C4" i="2" a="1"/>
  <c r="C4" i="2" s="1"/>
  <c r="C5" i="2" a="1"/>
  <c r="C5" i="2" s="1"/>
  <c r="C6" i="2" a="1"/>
  <c r="C6" i="2" s="1"/>
  <c r="C7" i="2" a="1"/>
  <c r="C7" i="2" s="1"/>
  <c r="C8" i="2" a="1"/>
  <c r="C8" i="2" s="1"/>
  <c r="C9" i="2" a="1"/>
  <c r="C9" i="2" s="1"/>
  <c r="C10" i="2" a="1"/>
  <c r="C10" i="2" s="1"/>
  <c r="C11" i="2" a="1"/>
  <c r="C11" i="2" s="1"/>
  <c r="C12" i="2" a="1"/>
  <c r="C12" i="2" s="1"/>
  <c r="C13" i="2" a="1"/>
  <c r="C13" i="2" s="1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C34" i="2" a="1"/>
  <c r="C34" i="2" s="1"/>
  <c r="C35" i="2" a="1"/>
  <c r="C35" i="2" s="1"/>
  <c r="C36" i="2" a="1"/>
  <c r="C36" i="2" s="1"/>
  <c r="C37" i="2" a="1"/>
  <c r="C37" i="2" s="1"/>
  <c r="C38" i="2" a="1"/>
  <c r="C38" i="2" s="1"/>
  <c r="C39" i="2" a="1"/>
  <c r="C39" i="2" s="1"/>
  <c r="C40" i="2" a="1"/>
  <c r="C40" i="2" s="1"/>
  <c r="C41" i="2" a="1"/>
  <c r="C41" i="2" s="1"/>
  <c r="C42" i="2" a="1"/>
  <c r="C42" i="2" s="1"/>
  <c r="C43" i="2" a="1"/>
  <c r="C43" i="2" s="1"/>
  <c r="C44" i="2" a="1"/>
  <c r="C44" i="2" s="1"/>
  <c r="C45" i="2" a="1"/>
  <c r="C45" i="2" s="1"/>
  <c r="C46" i="2" a="1"/>
  <c r="C46" i="2" s="1"/>
  <c r="C47" i="2" a="1"/>
  <c r="C47" i="2" s="1"/>
  <c r="C48" i="2" a="1"/>
  <c r="C48" i="2" s="1"/>
  <c r="C49" i="2" a="1"/>
  <c r="C49" i="2" s="1"/>
  <c r="C50" i="2" a="1"/>
  <c r="C50" i="2" s="1"/>
  <c r="C51" i="2" a="1"/>
  <c r="C51" i="2" s="1"/>
  <c r="C52" i="2" a="1"/>
  <c r="C52" i="2" s="1"/>
  <c r="C53" i="2" a="1"/>
  <c r="C53" i="2" s="1"/>
  <c r="C54" i="2" a="1"/>
  <c r="C54" i="2" s="1"/>
  <c r="C55" i="2" a="1"/>
  <c r="C55" i="2" s="1"/>
  <c r="C56" i="2" a="1"/>
  <c r="C56" i="2" s="1"/>
  <c r="C57" i="2" a="1"/>
  <c r="C57" i="2" s="1"/>
  <c r="C58" i="2" a="1"/>
  <c r="C58" i="2" s="1"/>
  <c r="C59" i="2" a="1"/>
  <c r="C59" i="2" s="1"/>
  <c r="C60" i="2" a="1"/>
  <c r="C60" i="2" s="1"/>
  <c r="C61" i="2" a="1"/>
  <c r="C61" i="2" s="1"/>
  <c r="C62" i="2" a="1"/>
  <c r="C62" i="2" s="1"/>
  <c r="C63" i="2" a="1"/>
  <c r="C63" i="2" s="1"/>
  <c r="C64" i="2" a="1"/>
  <c r="C64" i="2" s="1"/>
  <c r="C65" i="2" a="1"/>
  <c r="C65" i="2" s="1"/>
  <c r="C66" i="2" a="1"/>
  <c r="C66" i="2" s="1"/>
  <c r="C67" i="2" a="1"/>
  <c r="C67" i="2" s="1"/>
  <c r="C68" i="2" a="1"/>
  <c r="C68" i="2" s="1"/>
  <c r="C69" i="2" a="1"/>
  <c r="C69" i="2" s="1"/>
  <c r="C70" i="2" a="1"/>
  <c r="C70" i="2" s="1"/>
  <c r="C71" i="2" a="1"/>
  <c r="C71" i="2" s="1"/>
  <c r="C72" i="2" a="1"/>
  <c r="C72" i="2" s="1"/>
  <c r="C73" i="2" a="1"/>
  <c r="C73" i="2" s="1"/>
  <c r="C74" i="2" a="1"/>
  <c r="C74" i="2" s="1"/>
  <c r="C75" i="2" a="1"/>
  <c r="C75" i="2" s="1"/>
  <c r="C76" i="2" a="1"/>
  <c r="C76" i="2" s="1"/>
  <c r="C77" i="2" a="1"/>
  <c r="C77" i="2" s="1"/>
  <c r="C78" i="2" a="1"/>
  <c r="C78" i="2" s="1"/>
  <c r="C79" i="2" a="1"/>
  <c r="C79" i="2" s="1"/>
  <c r="C80" i="2" a="1"/>
  <c r="C80" i="2" s="1"/>
  <c r="C81" i="2" a="1"/>
  <c r="C81" i="2" s="1"/>
  <c r="C82" i="2" a="1"/>
  <c r="C82" i="2" s="1"/>
  <c r="C83" i="2" a="1"/>
  <c r="C83" i="2" s="1"/>
  <c r="C84" i="2" a="1"/>
  <c r="C84" i="2" s="1"/>
  <c r="C85" i="2" a="1"/>
  <c r="C85" i="2" s="1"/>
  <c r="C86" i="2" a="1"/>
  <c r="C86" i="2" s="1"/>
  <c r="C87" i="2" a="1"/>
  <c r="C87" i="2" s="1"/>
  <c r="C88" i="2" a="1"/>
  <c r="C88" i="2" s="1"/>
  <c r="C89" i="2" a="1"/>
  <c r="C89" i="2" s="1"/>
  <c r="C90" i="2" a="1"/>
  <c r="C90" i="2" s="1"/>
  <c r="C91" i="2" a="1"/>
  <c r="C91" i="2" s="1"/>
  <c r="C92" i="2" a="1"/>
  <c r="C92" i="2" s="1"/>
  <c r="C93" i="2" a="1"/>
  <c r="C93" i="2" s="1"/>
  <c r="C94" i="2" a="1"/>
  <c r="C94" i="2" s="1"/>
  <c r="C95" i="2" a="1"/>
  <c r="C95" i="2" s="1"/>
  <c r="C96" i="2" a="1"/>
  <c r="C96" i="2" s="1"/>
  <c r="C97" i="2" a="1"/>
  <c r="C97" i="2" s="1"/>
  <c r="C98" i="2" a="1"/>
  <c r="C98" i="2" s="1"/>
  <c r="C99" i="2" a="1"/>
  <c r="C99" i="2" s="1"/>
  <c r="C100" i="2" a="1"/>
  <c r="C100" i="2" s="1"/>
  <c r="C101" i="2" a="1"/>
  <c r="C101" i="2" s="1"/>
  <c r="C102" i="2" a="1"/>
  <c r="C102" i="2" s="1"/>
  <c r="C103" i="2" a="1"/>
  <c r="C103" i="2" s="1"/>
  <c r="C104" i="2" a="1"/>
  <c r="C104" i="2" s="1"/>
  <c r="C105" i="2" a="1"/>
  <c r="C105" i="2" s="1"/>
  <c r="C106" i="2" a="1"/>
  <c r="C106" i="2" s="1"/>
  <c r="C107" i="2" a="1"/>
  <c r="C107" i="2" s="1"/>
  <c r="C108" i="2" a="1"/>
  <c r="C108" i="2" s="1"/>
  <c r="C109" i="2" a="1"/>
  <c r="C109" i="2" s="1"/>
  <c r="C110" i="2" a="1"/>
  <c r="C110" i="2" s="1"/>
  <c r="C111" i="2" a="1"/>
  <c r="C111" i="2" s="1"/>
  <c r="C112" i="2" a="1"/>
  <c r="C112" i="2" s="1"/>
  <c r="C113" i="2" a="1"/>
  <c r="C113" i="2" s="1"/>
  <c r="C114" i="2" a="1"/>
  <c r="C114" i="2" s="1"/>
  <c r="C115" i="2" a="1"/>
  <c r="C115" i="2" s="1"/>
  <c r="C116" i="2" a="1"/>
  <c r="C116" i="2" s="1"/>
  <c r="C117" i="2" a="1"/>
  <c r="C117" i="2" s="1"/>
  <c r="C118" i="2" a="1"/>
  <c r="C118" i="2" s="1"/>
  <c r="C119" i="2" a="1"/>
  <c r="C119" i="2" s="1"/>
  <c r="C120" i="2" a="1"/>
  <c r="C120" i="2" s="1"/>
  <c r="C121" i="2" a="1"/>
  <c r="C121" i="2" s="1"/>
  <c r="C122" i="2" a="1"/>
  <c r="C122" i="2" s="1"/>
  <c r="C123" i="2" a="1"/>
  <c r="C123" i="2" s="1"/>
  <c r="C124" i="2" a="1"/>
  <c r="C124" i="2" s="1"/>
  <c r="C125" i="2" a="1"/>
  <c r="C125" i="2" s="1"/>
  <c r="C126" i="2" a="1"/>
  <c r="C126" i="2" s="1"/>
  <c r="C127" i="2" a="1"/>
  <c r="C127" i="2" s="1"/>
  <c r="C128" i="2" a="1"/>
  <c r="C128" i="2" s="1"/>
  <c r="C129" i="2" a="1"/>
  <c r="C129" i="2" s="1"/>
  <c r="C130" i="2" a="1"/>
  <c r="C130" i="2" s="1"/>
  <c r="C131" i="2" a="1"/>
  <c r="C131" i="2" s="1"/>
  <c r="C132" i="2" a="1"/>
  <c r="C132" i="2" s="1"/>
  <c r="C133" i="2" a="1"/>
  <c r="C133" i="2" s="1"/>
  <c r="C134" i="2" a="1"/>
  <c r="C134" i="2" s="1"/>
  <c r="C135" i="2" a="1"/>
  <c r="C135" i="2" s="1"/>
  <c r="C136" i="2" a="1"/>
  <c r="C136" i="2" s="1"/>
  <c r="C137" i="2" a="1"/>
  <c r="C137" i="2" s="1"/>
  <c r="C138" i="2" a="1"/>
  <c r="C138" i="2" s="1"/>
  <c r="C139" i="2" a="1"/>
  <c r="C139" i="2" s="1"/>
  <c r="C140" i="2" a="1"/>
  <c r="C140" i="2" s="1"/>
  <c r="C141" i="2" a="1"/>
  <c r="C141" i="2" s="1"/>
  <c r="C142" i="2" a="1"/>
  <c r="C142" i="2" s="1"/>
  <c r="C143" i="2" a="1"/>
  <c r="C143" i="2" s="1"/>
  <c r="C144" i="2" a="1"/>
  <c r="C144" i="2" s="1"/>
  <c r="C145" i="2" a="1"/>
  <c r="C145" i="2" s="1"/>
  <c r="C146" i="2" a="1"/>
  <c r="C146" i="2" s="1"/>
  <c r="C147" i="2" a="1"/>
  <c r="C147" i="2" s="1"/>
  <c r="C148" i="2" a="1"/>
  <c r="C148" i="2" s="1"/>
  <c r="C149" i="2" a="1"/>
  <c r="C149" i="2" s="1"/>
  <c r="C150" i="2" a="1"/>
  <c r="C150" i="2" s="1"/>
  <c r="C151" i="2" a="1"/>
  <c r="C151" i="2" s="1"/>
  <c r="C152" i="2" a="1"/>
  <c r="C152" i="2" s="1"/>
  <c r="C153" i="2" a="1"/>
  <c r="C153" i="2" s="1"/>
  <c r="C154" i="2" a="1"/>
  <c r="C154" i="2" s="1"/>
  <c r="C155" i="2" a="1"/>
  <c r="C155" i="2" s="1"/>
  <c r="C156" i="2" a="1"/>
  <c r="C156" i="2" s="1"/>
  <c r="C157" i="2" a="1"/>
  <c r="C157" i="2" s="1"/>
  <c r="C158" i="2" a="1"/>
  <c r="C158" i="2" s="1"/>
  <c r="C159" i="2" a="1"/>
  <c r="C159" i="2" s="1"/>
  <c r="C160" i="2" a="1"/>
  <c r="C160" i="2" s="1"/>
  <c r="C161" i="2" a="1"/>
  <c r="C161" i="2" s="1"/>
  <c r="C162" i="2" a="1"/>
  <c r="C162" i="2" s="1"/>
  <c r="C163" i="2" a="1"/>
  <c r="C163" i="2" s="1"/>
  <c r="C164" i="2" a="1"/>
  <c r="C164" i="2" s="1"/>
  <c r="C165" i="2" a="1"/>
  <c r="C165" i="2" s="1"/>
  <c r="C166" i="2" a="1"/>
  <c r="C166" i="2" s="1"/>
  <c r="C167" i="2" a="1"/>
  <c r="C167" i="2" s="1"/>
  <c r="C168" i="2" a="1"/>
  <c r="C168" i="2" s="1"/>
  <c r="C169" i="2" a="1"/>
  <c r="C169" i="2" s="1"/>
  <c r="C170" i="2" a="1"/>
  <c r="C170" i="2" s="1"/>
  <c r="C171" i="2" a="1"/>
  <c r="C171" i="2" s="1"/>
  <c r="C172" i="2" a="1"/>
  <c r="C172" i="2" s="1"/>
  <c r="C173" i="2" a="1"/>
  <c r="C173" i="2" s="1"/>
  <c r="C174" i="2" a="1"/>
  <c r="C174" i="2" s="1"/>
  <c r="C175" i="2" a="1"/>
  <c r="C175" i="2" s="1"/>
  <c r="C176" i="2" a="1"/>
  <c r="C176" i="2" s="1"/>
  <c r="C177" i="2" a="1"/>
  <c r="C177" i="2" s="1"/>
  <c r="C178" i="2" a="1"/>
  <c r="C178" i="2" s="1"/>
  <c r="C179" i="2" a="1"/>
  <c r="C179" i="2" s="1"/>
  <c r="C180" i="2" a="1"/>
  <c r="C180" i="2" s="1"/>
  <c r="C181" i="2" a="1"/>
  <c r="C181" i="2" s="1"/>
  <c r="C182" i="2" a="1"/>
  <c r="C182" i="2" s="1"/>
  <c r="C183" i="2" a="1"/>
  <c r="C183" i="2" s="1"/>
  <c r="C184" i="2" a="1"/>
  <c r="C184" i="2" s="1"/>
  <c r="C185" i="2" a="1"/>
  <c r="C185" i="2" s="1"/>
  <c r="C186" i="2" a="1"/>
  <c r="C186" i="2" s="1"/>
  <c r="C187" i="2" a="1"/>
  <c r="C187" i="2" s="1"/>
  <c r="C188" i="2" a="1"/>
  <c r="C188" i="2" s="1"/>
  <c r="C189" i="2" a="1"/>
  <c r="C189" i="2" s="1"/>
  <c r="C190" i="2" a="1"/>
  <c r="C190" i="2" s="1"/>
  <c r="C191" i="2" a="1"/>
  <c r="C191" i="2" s="1"/>
  <c r="C192" i="2" a="1"/>
  <c r="C192" i="2" s="1"/>
  <c r="C193" i="2" a="1"/>
  <c r="C193" i="2" s="1"/>
  <c r="B2" i="2" a="1"/>
  <c r="B2" i="2" s="1"/>
  <c r="P2" i="2" s="1"/>
  <c r="B3" i="2" a="1"/>
  <c r="B3" i="2" s="1"/>
  <c r="P3" i="2" s="1"/>
  <c r="B4" i="2" a="1"/>
  <c r="B4" i="2" s="1"/>
  <c r="P4" i="2" s="1"/>
  <c r="B5" i="2" a="1"/>
  <c r="B5" i="2" s="1"/>
  <c r="P5" i="2" s="1"/>
  <c r="B6" i="2" a="1"/>
  <c r="B6" i="2" s="1"/>
  <c r="P6" i="2" s="1"/>
  <c r="B7" i="2" a="1"/>
  <c r="B7" i="2" s="1"/>
  <c r="P7" i="2" s="1"/>
  <c r="B8" i="2" a="1"/>
  <c r="B8" i="2" s="1"/>
  <c r="P8" i="2" s="1"/>
  <c r="B9" i="2" a="1"/>
  <c r="B9" i="2" s="1"/>
  <c r="P9" i="2" s="1"/>
  <c r="B10" i="2" a="1"/>
  <c r="B10" i="2" s="1"/>
  <c r="P10" i="2" s="1"/>
  <c r="B11" i="2" a="1"/>
  <c r="B11" i="2" s="1"/>
  <c r="P11" i="2" s="1"/>
  <c r="B12" i="2" a="1"/>
  <c r="B12" i="2" s="1"/>
  <c r="U12" i="2" s="1"/>
  <c r="B13" i="2" a="1"/>
  <c r="B13" i="2" s="1"/>
  <c r="U13" i="2" s="1"/>
  <c r="B14" i="2" a="1"/>
  <c r="B14" i="2" s="1"/>
  <c r="P14" i="2" s="1"/>
  <c r="B15" i="2" a="1"/>
  <c r="B15" i="2" s="1"/>
  <c r="P15" i="2" s="1"/>
  <c r="B16" i="2" a="1"/>
  <c r="B16" i="2" s="1"/>
  <c r="P16" i="2" s="1"/>
  <c r="B17" i="2" a="1"/>
  <c r="B17" i="2" s="1"/>
  <c r="P17" i="2" s="1"/>
  <c r="B18" i="2" a="1"/>
  <c r="B18" i="2" s="1"/>
  <c r="P18" i="2" s="1"/>
  <c r="B19" i="2" a="1"/>
  <c r="B19" i="2" s="1"/>
  <c r="P19" i="2" s="1"/>
  <c r="B20" i="2" a="1"/>
  <c r="B20" i="2" s="1"/>
  <c r="P20" i="2" s="1"/>
  <c r="B21" i="2" a="1"/>
  <c r="B21" i="2" s="1"/>
  <c r="P21" i="2" s="1"/>
  <c r="B22" i="2" a="1"/>
  <c r="B22" i="2" s="1"/>
  <c r="P22" i="2" s="1"/>
  <c r="B23" i="2" a="1"/>
  <c r="B23" i="2" s="1"/>
  <c r="P23" i="2" s="1"/>
  <c r="B24" i="2" a="1"/>
  <c r="B24" i="2" s="1"/>
  <c r="U24" i="2" s="1"/>
  <c r="B25" i="2" a="1"/>
  <c r="B25" i="2" s="1"/>
  <c r="U25" i="2" s="1"/>
  <c r="B26" i="2" a="1"/>
  <c r="B26" i="2" s="1"/>
  <c r="P26" i="2" s="1"/>
  <c r="B27" i="2" a="1"/>
  <c r="B27" i="2" s="1"/>
  <c r="P27" i="2" s="1"/>
  <c r="B28" i="2" a="1"/>
  <c r="B28" i="2" s="1"/>
  <c r="P28" i="2" s="1"/>
  <c r="B29" i="2" a="1"/>
  <c r="B29" i="2" s="1"/>
  <c r="P29" i="2" s="1"/>
  <c r="B30" i="2" a="1"/>
  <c r="B30" i="2" s="1"/>
  <c r="P30" i="2" s="1"/>
  <c r="B31" i="2" a="1"/>
  <c r="B31" i="2" s="1"/>
  <c r="P31" i="2" s="1"/>
  <c r="B32" i="2" a="1"/>
  <c r="B32" i="2" s="1"/>
  <c r="P32" i="2" s="1"/>
  <c r="B33" i="2" a="1"/>
  <c r="B33" i="2" s="1"/>
  <c r="P33" i="2" s="1"/>
  <c r="B34" i="2" a="1"/>
  <c r="B34" i="2" s="1"/>
  <c r="P34" i="2" s="1"/>
  <c r="B35" i="2" a="1"/>
  <c r="B35" i="2" s="1"/>
  <c r="P35" i="2" s="1"/>
  <c r="B36" i="2" a="1"/>
  <c r="B36" i="2" s="1"/>
  <c r="U36" i="2" s="1"/>
  <c r="B37" i="2" a="1"/>
  <c r="B37" i="2" s="1"/>
  <c r="U37" i="2" s="1"/>
  <c r="B38" i="2" a="1"/>
  <c r="B38" i="2" s="1"/>
  <c r="P38" i="2" s="1"/>
  <c r="B39" i="2" a="1"/>
  <c r="B39" i="2" s="1"/>
  <c r="P39" i="2" s="1"/>
  <c r="B40" i="2" a="1"/>
  <c r="B40" i="2" s="1"/>
  <c r="P40" i="2" s="1"/>
  <c r="B41" i="2" a="1"/>
  <c r="B41" i="2" s="1"/>
  <c r="P41" i="2" s="1"/>
  <c r="B42" i="2" a="1"/>
  <c r="B42" i="2" s="1"/>
  <c r="P42" i="2" s="1"/>
  <c r="B43" i="2" a="1"/>
  <c r="B43" i="2" s="1"/>
  <c r="P43" i="2" s="1"/>
  <c r="B44" i="2" a="1"/>
  <c r="B44" i="2" s="1"/>
  <c r="P44" i="2" s="1"/>
  <c r="B45" i="2" a="1"/>
  <c r="B45" i="2" s="1"/>
  <c r="P45" i="2" s="1"/>
  <c r="B46" i="2" a="1"/>
  <c r="B46" i="2" s="1"/>
  <c r="P46" i="2" s="1"/>
  <c r="B47" i="2" a="1"/>
  <c r="B47" i="2" s="1"/>
  <c r="P47" i="2" s="1"/>
  <c r="B48" i="2" a="1"/>
  <c r="B48" i="2" s="1"/>
  <c r="U48" i="2" s="1"/>
  <c r="B49" i="2" a="1"/>
  <c r="B49" i="2" s="1"/>
  <c r="U49" i="2" s="1"/>
  <c r="B50" i="2" a="1"/>
  <c r="B50" i="2" s="1"/>
  <c r="P50" i="2" s="1"/>
  <c r="B51" i="2" a="1"/>
  <c r="B51" i="2" s="1"/>
  <c r="P51" i="2" s="1"/>
  <c r="B52" i="2" a="1"/>
  <c r="B52" i="2" s="1"/>
  <c r="P52" i="2" s="1"/>
  <c r="B53" i="2" a="1"/>
  <c r="B53" i="2" s="1"/>
  <c r="P53" i="2" s="1"/>
  <c r="B54" i="2" a="1"/>
  <c r="B54" i="2" s="1"/>
  <c r="P54" i="2" s="1"/>
  <c r="B55" i="2" a="1"/>
  <c r="B55" i="2" s="1"/>
  <c r="P55" i="2" s="1"/>
  <c r="B56" i="2" a="1"/>
  <c r="B56" i="2" s="1"/>
  <c r="P56" i="2" s="1"/>
  <c r="B57" i="2" a="1"/>
  <c r="B57" i="2" s="1"/>
  <c r="P57" i="2" s="1"/>
  <c r="B58" i="2" a="1"/>
  <c r="B58" i="2" s="1"/>
  <c r="P58" i="2" s="1"/>
  <c r="B59" i="2" a="1"/>
  <c r="B59" i="2" s="1"/>
  <c r="P59" i="2" s="1"/>
  <c r="B60" i="2" a="1"/>
  <c r="B60" i="2" s="1"/>
  <c r="U60" i="2" s="1"/>
  <c r="B61" i="2" a="1"/>
  <c r="B61" i="2" s="1"/>
  <c r="U61" i="2" s="1"/>
  <c r="B62" i="2" a="1"/>
  <c r="B62" i="2" s="1"/>
  <c r="U62" i="2" s="1"/>
  <c r="B63" i="2" a="1"/>
  <c r="B63" i="2" s="1"/>
  <c r="U63" i="2" s="1"/>
  <c r="B64" i="2" a="1"/>
  <c r="B64" i="2" s="1"/>
  <c r="U64" i="2" s="1"/>
  <c r="B65" i="2" a="1"/>
  <c r="B65" i="2" s="1"/>
  <c r="U65" i="2" s="1"/>
  <c r="B66" i="2" a="1"/>
  <c r="B66" i="2" s="1"/>
  <c r="U66" i="2" s="1"/>
  <c r="B67" i="2" a="1"/>
  <c r="B67" i="2" s="1"/>
  <c r="R67" i="2" s="1"/>
  <c r="B68" i="2" a="1"/>
  <c r="B68" i="2" s="1"/>
  <c r="U68" i="2" s="1"/>
  <c r="B69" i="2" a="1"/>
  <c r="B69" i="2" s="1"/>
  <c r="U69" i="2" s="1"/>
  <c r="B70" i="2" a="1"/>
  <c r="B70" i="2" s="1"/>
  <c r="U70" i="2" s="1"/>
  <c r="B71" i="2" a="1"/>
  <c r="B71" i="2" s="1"/>
  <c r="U71" i="2" s="1"/>
  <c r="B72" i="2" a="1"/>
  <c r="B72" i="2" s="1"/>
  <c r="U72" i="2" s="1"/>
  <c r="B73" i="2" a="1"/>
  <c r="B73" i="2" s="1"/>
  <c r="U73" i="2" s="1"/>
  <c r="B74" i="2" a="1"/>
  <c r="B74" i="2" s="1"/>
  <c r="U74" i="2" s="1"/>
  <c r="B75" i="2" a="1"/>
  <c r="B75" i="2" s="1"/>
  <c r="U75" i="2" s="1"/>
  <c r="B76" i="2" a="1"/>
  <c r="B76" i="2" s="1"/>
  <c r="U76" i="2" s="1"/>
  <c r="B77" i="2" a="1"/>
  <c r="B77" i="2" s="1"/>
  <c r="U77" i="2" s="1"/>
  <c r="B78" i="2" a="1"/>
  <c r="B78" i="2" s="1"/>
  <c r="U78" i="2" s="1"/>
  <c r="B79" i="2" a="1"/>
  <c r="B79" i="2" s="1"/>
  <c r="P79" i="2" s="1"/>
  <c r="B80" i="2" a="1"/>
  <c r="B80" i="2" s="1"/>
  <c r="U80" i="2" s="1"/>
  <c r="B81" i="2" a="1"/>
  <c r="B81" i="2" s="1"/>
  <c r="U81" i="2" s="1"/>
  <c r="B82" i="2" a="1"/>
  <c r="B82" i="2" s="1"/>
  <c r="U82" i="2" s="1"/>
  <c r="B83" i="2" a="1"/>
  <c r="B83" i="2" s="1"/>
  <c r="U83" i="2" s="1"/>
  <c r="B84" i="2" a="1"/>
  <c r="B84" i="2" s="1"/>
  <c r="U84" i="2" s="1"/>
  <c r="B85" i="2" a="1"/>
  <c r="B85" i="2" s="1"/>
  <c r="U85" i="2" s="1"/>
  <c r="B86" i="2" a="1"/>
  <c r="B86" i="2" s="1"/>
  <c r="U86" i="2" s="1"/>
  <c r="B87" i="2" a="1"/>
  <c r="B87" i="2" s="1"/>
  <c r="U87" i="2" s="1"/>
  <c r="B88" i="2" a="1"/>
  <c r="B88" i="2" s="1"/>
  <c r="U88" i="2" s="1"/>
  <c r="B89" i="2" a="1"/>
  <c r="B89" i="2" s="1"/>
  <c r="U89" i="2" s="1"/>
  <c r="B90" i="2" a="1"/>
  <c r="B90" i="2" s="1"/>
  <c r="P90" i="2" s="1"/>
  <c r="B91" i="2" a="1"/>
  <c r="B91" i="2" s="1"/>
  <c r="R91" i="2" s="1"/>
  <c r="B92" i="2" a="1"/>
  <c r="B92" i="2" s="1"/>
  <c r="U92" i="2" s="1"/>
  <c r="B93" i="2" a="1"/>
  <c r="B93" i="2" s="1"/>
  <c r="U93" i="2" s="1"/>
  <c r="B94" i="2" a="1"/>
  <c r="B94" i="2" s="1"/>
  <c r="U94" i="2" s="1"/>
  <c r="B95" i="2" a="1"/>
  <c r="B95" i="2" s="1"/>
  <c r="U95" i="2" s="1"/>
  <c r="B96" i="2" a="1"/>
  <c r="B96" i="2" s="1"/>
  <c r="U96" i="2" s="1"/>
  <c r="B97" i="2" a="1"/>
  <c r="B97" i="2" s="1"/>
  <c r="U97" i="2" s="1"/>
  <c r="B98" i="2" a="1"/>
  <c r="B98" i="2" s="1"/>
  <c r="U98" i="2" s="1"/>
  <c r="B99" i="2" a="1"/>
  <c r="B99" i="2" s="1"/>
  <c r="U99" i="2" s="1"/>
  <c r="B100" i="2" a="1"/>
  <c r="B100" i="2" s="1"/>
  <c r="U100" i="2" s="1"/>
  <c r="B101" i="2" a="1"/>
  <c r="B101" i="2" s="1"/>
  <c r="P101" i="2" s="1"/>
  <c r="B102" i="2" a="1"/>
  <c r="B102" i="2" s="1"/>
  <c r="U102" i="2" s="1"/>
  <c r="B103" i="2" a="1"/>
  <c r="B103" i="2" s="1"/>
  <c r="U103" i="2" s="1"/>
  <c r="B104" i="2" a="1"/>
  <c r="B104" i="2" s="1"/>
  <c r="U104" i="2" s="1"/>
  <c r="B105" i="2" a="1"/>
  <c r="B105" i="2" s="1"/>
  <c r="U105" i="2" s="1"/>
  <c r="B106" i="2" a="1"/>
  <c r="B106" i="2" s="1"/>
  <c r="U106" i="2" s="1"/>
  <c r="B107" i="2" a="1"/>
  <c r="B107" i="2" s="1"/>
  <c r="U107" i="2" s="1"/>
  <c r="B108" i="2" a="1"/>
  <c r="B108" i="2" s="1"/>
  <c r="U108" i="2" s="1"/>
  <c r="B109" i="2" a="1"/>
  <c r="B109" i="2" s="1"/>
  <c r="U109" i="2" s="1"/>
  <c r="B110" i="2" a="1"/>
  <c r="B110" i="2" s="1"/>
  <c r="U110" i="2" s="1"/>
  <c r="B111" i="2" a="1"/>
  <c r="B111" i="2" s="1"/>
  <c r="U111" i="2" s="1"/>
  <c r="B112" i="2" a="1"/>
  <c r="B112" i="2" s="1"/>
  <c r="U112" i="2" s="1"/>
  <c r="B113" i="2" a="1"/>
  <c r="B113" i="2" s="1"/>
  <c r="U113" i="2" s="1"/>
  <c r="B114" i="2" a="1"/>
  <c r="B114" i="2" s="1"/>
  <c r="U114" i="2" s="1"/>
  <c r="B115" i="2" a="1"/>
  <c r="B115" i="2" s="1"/>
  <c r="U115" i="2" s="1"/>
  <c r="B116" i="2" a="1"/>
  <c r="B116" i="2" s="1"/>
  <c r="U116" i="2" s="1"/>
  <c r="B117" i="2" a="1"/>
  <c r="B117" i="2" s="1"/>
  <c r="U117" i="2" s="1"/>
  <c r="B118" i="2" a="1"/>
  <c r="B118" i="2" s="1"/>
  <c r="U118" i="2" s="1"/>
  <c r="B119" i="2" a="1"/>
  <c r="B119" i="2" s="1"/>
  <c r="U119" i="2" s="1"/>
  <c r="B120" i="2" a="1"/>
  <c r="B120" i="2" s="1"/>
  <c r="U120" i="2" s="1"/>
  <c r="B121" i="2" a="1"/>
  <c r="B121" i="2" s="1"/>
  <c r="U121" i="2" s="1"/>
  <c r="B122" i="2" a="1"/>
  <c r="B122" i="2" s="1"/>
  <c r="P122" i="2" s="1"/>
  <c r="B123" i="2" a="1"/>
  <c r="B123" i="2" s="1"/>
  <c r="U123" i="2" s="1"/>
  <c r="B124" i="2" a="1"/>
  <c r="B124" i="2" s="1"/>
  <c r="U124" i="2" s="1"/>
  <c r="B125" i="2" a="1"/>
  <c r="B125" i="2" s="1"/>
  <c r="U125" i="2" s="1"/>
  <c r="B126" i="2" a="1"/>
  <c r="B126" i="2" s="1"/>
  <c r="U126" i="2" s="1"/>
  <c r="B127" i="2" a="1"/>
  <c r="B127" i="2" s="1"/>
  <c r="U127" i="2" s="1"/>
  <c r="B128" i="2" a="1"/>
  <c r="B128" i="2" s="1"/>
  <c r="U128" i="2" s="1"/>
  <c r="B129" i="2" a="1"/>
  <c r="B129" i="2" s="1"/>
  <c r="U129" i="2" s="1"/>
  <c r="B130" i="2" a="1"/>
  <c r="B130" i="2" s="1"/>
  <c r="U130" i="2" s="1"/>
  <c r="B131" i="2" a="1"/>
  <c r="B131" i="2" s="1"/>
  <c r="U131" i="2" s="1"/>
  <c r="B132" i="2" a="1"/>
  <c r="B132" i="2" s="1"/>
  <c r="J132" i="2" s="1"/>
  <c r="B133" i="2" a="1"/>
  <c r="B133" i="2" s="1"/>
  <c r="J133" i="2" s="1"/>
  <c r="B134" i="2" a="1"/>
  <c r="B134" i="2" s="1"/>
  <c r="P134" i="2" s="1"/>
  <c r="B135" i="2" a="1"/>
  <c r="B135" i="2" s="1"/>
  <c r="U135" i="2" s="1"/>
  <c r="B136" i="2" a="1"/>
  <c r="B136" i="2" s="1"/>
  <c r="U136" i="2" s="1"/>
  <c r="B137" i="2" a="1"/>
  <c r="B137" i="2" s="1"/>
  <c r="U137" i="2" s="1"/>
  <c r="B138" i="2" a="1"/>
  <c r="B138" i="2" s="1"/>
  <c r="U138" i="2" s="1"/>
  <c r="B139" i="2" a="1"/>
  <c r="B139" i="2" s="1"/>
  <c r="U139" i="2" s="1"/>
  <c r="B140" i="2" a="1"/>
  <c r="B140" i="2" s="1"/>
  <c r="U140" i="2" s="1"/>
  <c r="B141" i="2" a="1"/>
  <c r="B141" i="2" s="1"/>
  <c r="U141" i="2" s="1"/>
  <c r="B142" i="2" a="1"/>
  <c r="B142" i="2" s="1"/>
  <c r="U142" i="2" s="1"/>
  <c r="B143" i="2" a="1"/>
  <c r="B143" i="2" s="1"/>
  <c r="U143" i="2" s="1"/>
  <c r="B144" i="2" a="1"/>
  <c r="B144" i="2" s="1"/>
  <c r="J144" i="2" s="1"/>
  <c r="B145" i="2" a="1"/>
  <c r="B145" i="2" s="1"/>
  <c r="J145" i="2" s="1"/>
  <c r="B146" i="2" a="1"/>
  <c r="B146" i="2" s="1"/>
  <c r="U146" i="2" s="1"/>
  <c r="B147" i="2" a="1"/>
  <c r="B147" i="2" s="1"/>
  <c r="U147" i="2" s="1"/>
  <c r="B148" i="2" a="1"/>
  <c r="B148" i="2" s="1"/>
  <c r="U148" i="2" s="1"/>
  <c r="B149" i="2" a="1"/>
  <c r="B149" i="2" s="1"/>
  <c r="U149" i="2" s="1"/>
  <c r="B150" i="2" a="1"/>
  <c r="B150" i="2" s="1"/>
  <c r="U150" i="2" s="1"/>
  <c r="B151" i="2" a="1"/>
  <c r="B151" i="2" s="1"/>
  <c r="U151" i="2" s="1"/>
  <c r="B152" i="2" a="1"/>
  <c r="B152" i="2" s="1"/>
  <c r="U152" i="2" s="1"/>
  <c r="B153" i="2" a="1"/>
  <c r="B153" i="2" s="1"/>
  <c r="U153" i="2" s="1"/>
  <c r="B154" i="2" a="1"/>
  <c r="B154" i="2" s="1"/>
  <c r="U154" i="2" s="1"/>
  <c r="B155" i="2" a="1"/>
  <c r="B155" i="2" s="1"/>
  <c r="U155" i="2" s="1"/>
  <c r="B156" i="2" a="1"/>
  <c r="B156" i="2" s="1"/>
  <c r="J156" i="2" s="1"/>
  <c r="B157" i="2" a="1"/>
  <c r="B157" i="2" s="1"/>
  <c r="J157" i="2" s="1"/>
  <c r="B158" i="2" a="1"/>
  <c r="B158" i="2" s="1"/>
  <c r="U158" i="2" s="1"/>
  <c r="B159" i="2" a="1"/>
  <c r="B159" i="2" s="1"/>
  <c r="U159" i="2" s="1"/>
  <c r="B160" i="2" a="1"/>
  <c r="B160" i="2" s="1"/>
  <c r="U160" i="2" s="1"/>
  <c r="B161" i="2" a="1"/>
  <c r="B161" i="2" s="1"/>
  <c r="U161" i="2" s="1"/>
  <c r="B162" i="2" a="1"/>
  <c r="B162" i="2" s="1"/>
  <c r="U162" i="2" s="1"/>
  <c r="B163" i="2" a="1"/>
  <c r="B163" i="2" s="1"/>
  <c r="U163" i="2" s="1"/>
  <c r="B164" i="2" a="1"/>
  <c r="B164" i="2" s="1"/>
  <c r="U164" i="2" s="1"/>
  <c r="B165" i="2" a="1"/>
  <c r="B165" i="2" s="1"/>
  <c r="U165" i="2" s="1"/>
  <c r="B166" i="2" a="1"/>
  <c r="B166" i="2" s="1"/>
  <c r="U166" i="2" s="1"/>
  <c r="B167" i="2" a="1"/>
  <c r="B167" i="2" s="1"/>
  <c r="U167" i="2" s="1"/>
  <c r="B168" i="2" a="1"/>
  <c r="B168" i="2" s="1"/>
  <c r="J168" i="2" s="1"/>
  <c r="B169" i="2" a="1"/>
  <c r="B169" i="2" s="1"/>
  <c r="J169" i="2" s="1"/>
  <c r="B170" i="2" a="1"/>
  <c r="B170" i="2" s="1"/>
  <c r="P170" i="2" s="1"/>
  <c r="B171" i="2" a="1"/>
  <c r="B171" i="2" s="1"/>
  <c r="U171" i="2" s="1"/>
  <c r="B172" i="2" a="1"/>
  <c r="B172" i="2" s="1"/>
  <c r="U172" i="2" s="1"/>
  <c r="B173" i="2" a="1"/>
  <c r="B173" i="2" s="1"/>
  <c r="U173" i="2" s="1"/>
  <c r="B174" i="2" a="1"/>
  <c r="B174" i="2" s="1"/>
  <c r="U174" i="2" s="1"/>
  <c r="B175" i="2" a="1"/>
  <c r="B175" i="2" s="1"/>
  <c r="P175" i="2" s="1"/>
  <c r="B176" i="2" a="1"/>
  <c r="B176" i="2" s="1"/>
  <c r="U176" i="2" s="1"/>
  <c r="B177" i="2" a="1"/>
  <c r="B177" i="2" s="1"/>
  <c r="P177" i="2" s="1"/>
  <c r="B178" i="2" a="1"/>
  <c r="B178" i="2" s="1"/>
  <c r="U178" i="2" s="1"/>
  <c r="B179" i="2" a="1"/>
  <c r="B179" i="2" s="1"/>
  <c r="U179" i="2" s="1"/>
  <c r="B180" i="2" a="1"/>
  <c r="B180" i="2" s="1"/>
  <c r="J180" i="2" s="1"/>
  <c r="B181" i="2" a="1"/>
  <c r="B181" i="2" s="1"/>
  <c r="J181" i="2" s="1"/>
  <c r="B182" i="2" a="1"/>
  <c r="B182" i="2" s="1"/>
  <c r="U182" i="2" s="1"/>
  <c r="B183" i="2" a="1"/>
  <c r="B183" i="2" s="1"/>
  <c r="U183" i="2" s="1"/>
  <c r="B184" i="2" a="1"/>
  <c r="B184" i="2" s="1"/>
  <c r="U184" i="2" s="1"/>
  <c r="B185" i="2" a="1"/>
  <c r="B185" i="2" s="1"/>
  <c r="P185" i="2" s="1"/>
  <c r="B186" i="2" a="1"/>
  <c r="B186" i="2" s="1"/>
  <c r="U186" i="2" s="1"/>
  <c r="B187" i="2" a="1"/>
  <c r="B187" i="2" s="1"/>
  <c r="U187" i="2" s="1"/>
  <c r="B188" i="2" a="1"/>
  <c r="B188" i="2" s="1"/>
  <c r="P188" i="2" s="1"/>
  <c r="B189" i="2" a="1"/>
  <c r="B189" i="2" s="1"/>
  <c r="U189" i="2" s="1"/>
  <c r="B190" i="2" a="1"/>
  <c r="B190" i="2" s="1"/>
  <c r="U190" i="2" s="1"/>
  <c r="B191" i="2" a="1"/>
  <c r="B191" i="2" s="1"/>
  <c r="U191" i="2" s="1"/>
  <c r="B192" i="2" a="1"/>
  <c r="B192" i="2" s="1"/>
  <c r="U192" i="2" s="1"/>
  <c r="B193" i="2" a="1"/>
  <c r="B193" i="2" s="1"/>
  <c r="U193" i="2" s="1"/>
  <c r="I5" i="1"/>
  <c r="H3" i="2" a="1"/>
  <c r="H3" i="2" s="1"/>
  <c r="H4" i="2" a="1"/>
  <c r="H4" i="2" s="1"/>
  <c r="H5" i="2" a="1"/>
  <c r="H5" i="2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5" i="2" a="1"/>
  <c r="H15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H25" i="2" a="1"/>
  <c r="H25" i="2" s="1"/>
  <c r="H26" i="2" a="1"/>
  <c r="H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46" i="2" a="1"/>
  <c r="H46" i="2" s="1"/>
  <c r="H47" i="2" a="1"/>
  <c r="H47" i="2" s="1"/>
  <c r="H48" i="2" a="1"/>
  <c r="H48" i="2" s="1"/>
  <c r="H49" i="2" a="1"/>
  <c r="H49" i="2" s="1"/>
  <c r="H50" i="2" a="1"/>
  <c r="H50" i="2" s="1"/>
  <c r="H51" i="2" a="1"/>
  <c r="H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H71" i="2" a="1"/>
  <c r="H71" i="2" s="1"/>
  <c r="H72" i="2" a="1"/>
  <c r="H72" i="2" s="1"/>
  <c r="H73" i="2" a="1"/>
  <c r="H73" i="2" s="1"/>
  <c r="H74" i="2" a="1"/>
  <c r="H74" i="2" s="1"/>
  <c r="H75" i="2" a="1"/>
  <c r="H75" i="2" s="1"/>
  <c r="H76" i="2" a="1"/>
  <c r="H76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96" i="2" a="1"/>
  <c r="H96" i="2" s="1"/>
  <c r="H97" i="2" a="1"/>
  <c r="H97" i="2" s="1"/>
  <c r="H98" i="2" a="1"/>
  <c r="H98" i="2" s="1"/>
  <c r="H99" i="2" a="1"/>
  <c r="H99" i="2" s="1"/>
  <c r="H100" i="2" a="1"/>
  <c r="H100" i="2" s="1"/>
  <c r="H101" i="2" a="1"/>
  <c r="H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H121" i="2" a="1"/>
  <c r="H121" i="2" s="1"/>
  <c r="H122" i="2" a="1"/>
  <c r="H122" i="2" s="1"/>
  <c r="H123" i="2" a="1"/>
  <c r="H123" i="2" s="1"/>
  <c r="H124" i="2" a="1"/>
  <c r="H124" i="2" s="1"/>
  <c r="H125" i="2" a="1"/>
  <c r="H125" i="2" s="1"/>
  <c r="H126" i="2" a="1"/>
  <c r="H126" i="2" s="1"/>
  <c r="H127" i="2" a="1"/>
  <c r="H127" i="2" s="1"/>
  <c r="H128" i="2" a="1"/>
  <c r="H128" i="2" s="1"/>
  <c r="H129" i="2" a="1"/>
  <c r="H129" i="2" s="1"/>
  <c r="H130" i="2" a="1"/>
  <c r="H130" i="2" s="1"/>
  <c r="H131" i="2" a="1"/>
  <c r="H131" i="2" s="1"/>
  <c r="H132" i="2" a="1"/>
  <c r="H132" i="2" s="1"/>
  <c r="H133" i="2" a="1"/>
  <c r="H133" i="2" s="1"/>
  <c r="H134" i="2" a="1"/>
  <c r="H134" i="2" s="1"/>
  <c r="H135" i="2" a="1"/>
  <c r="H135" i="2" s="1"/>
  <c r="H136" i="2" a="1"/>
  <c r="H136" i="2" s="1"/>
  <c r="H137" i="2" a="1"/>
  <c r="H137" i="2" s="1"/>
  <c r="H138" i="2" a="1"/>
  <c r="H138" i="2" s="1"/>
  <c r="H139" i="2" a="1"/>
  <c r="H139" i="2" s="1"/>
  <c r="H140" i="2" a="1"/>
  <c r="H140" i="2" s="1"/>
  <c r="H141" i="2" a="1"/>
  <c r="H141" i="2" s="1"/>
  <c r="H142" i="2" a="1"/>
  <c r="H142" i="2" s="1"/>
  <c r="H143" i="2" a="1"/>
  <c r="H143" i="2" s="1"/>
  <c r="H144" i="2" a="1"/>
  <c r="H144" i="2" s="1"/>
  <c r="H145" i="2" a="1"/>
  <c r="H145" i="2" s="1"/>
  <c r="H146" i="2" a="1"/>
  <c r="H146" i="2" s="1"/>
  <c r="H147" i="2" a="1"/>
  <c r="H147" i="2" s="1"/>
  <c r="H148" i="2" a="1"/>
  <c r="H148" i="2" s="1"/>
  <c r="H149" i="2" a="1"/>
  <c r="H149" i="2" s="1"/>
  <c r="H150" i="2" a="1"/>
  <c r="H150" i="2" s="1"/>
  <c r="H151" i="2" a="1"/>
  <c r="H151" i="2" s="1"/>
  <c r="H152" i="2" a="1"/>
  <c r="H152" i="2" s="1"/>
  <c r="H153" i="2" a="1"/>
  <c r="H153" i="2" s="1"/>
  <c r="H154" i="2" a="1"/>
  <c r="H154" i="2" s="1"/>
  <c r="H155" i="2" a="1"/>
  <c r="H155" i="2" s="1"/>
  <c r="H156" i="2" a="1"/>
  <c r="H156" i="2" s="1"/>
  <c r="H157" i="2" a="1"/>
  <c r="H157" i="2" s="1"/>
  <c r="H158" i="2" a="1"/>
  <c r="H158" i="2" s="1"/>
  <c r="H159" i="2" a="1"/>
  <c r="H159" i="2" s="1"/>
  <c r="H160" i="2" a="1"/>
  <c r="H160" i="2" s="1"/>
  <c r="H161" i="2" a="1"/>
  <c r="H161" i="2" s="1"/>
  <c r="H162" i="2" a="1"/>
  <c r="H162" i="2" s="1"/>
  <c r="H163" i="2" a="1"/>
  <c r="H163" i="2" s="1"/>
  <c r="H164" i="2" a="1"/>
  <c r="H164" i="2" s="1"/>
  <c r="H165" i="2" a="1"/>
  <c r="H165" i="2" s="1"/>
  <c r="H166" i="2" a="1"/>
  <c r="H166" i="2" s="1"/>
  <c r="H167" i="2" a="1"/>
  <c r="H167" i="2" s="1"/>
  <c r="H168" i="2" a="1"/>
  <c r="H168" i="2" s="1"/>
  <c r="H169" i="2" a="1"/>
  <c r="H169" i="2" s="1"/>
  <c r="H170" i="2" a="1"/>
  <c r="H170" i="2" s="1"/>
  <c r="H171" i="2" a="1"/>
  <c r="H171" i="2" s="1"/>
  <c r="H172" i="2" a="1"/>
  <c r="H172" i="2" s="1"/>
  <c r="H173" i="2" a="1"/>
  <c r="H173" i="2" s="1"/>
  <c r="H174" i="2" a="1"/>
  <c r="H174" i="2" s="1"/>
  <c r="H175" i="2" a="1"/>
  <c r="H175" i="2" s="1"/>
  <c r="H176" i="2" a="1"/>
  <c r="H176" i="2" s="1"/>
  <c r="H177" i="2" a="1"/>
  <c r="H177" i="2" s="1"/>
  <c r="H178" i="2" a="1"/>
  <c r="H178" i="2" s="1"/>
  <c r="H179" i="2" a="1"/>
  <c r="H179" i="2" s="1"/>
  <c r="H180" i="2" a="1"/>
  <c r="H180" i="2" s="1"/>
  <c r="H181" i="2" a="1"/>
  <c r="H181" i="2" s="1"/>
  <c r="H182" i="2" a="1"/>
  <c r="H182" i="2" s="1"/>
  <c r="H183" i="2" a="1"/>
  <c r="H183" i="2" s="1"/>
  <c r="H184" i="2" a="1"/>
  <c r="H184" i="2" s="1"/>
  <c r="H185" i="2" a="1"/>
  <c r="H185" i="2" s="1"/>
  <c r="H186" i="2" a="1"/>
  <c r="H186" i="2" s="1"/>
  <c r="H187" i="2" a="1"/>
  <c r="H187" i="2" s="1"/>
  <c r="H188" i="2" a="1"/>
  <c r="H188" i="2" s="1"/>
  <c r="H189" i="2" a="1"/>
  <c r="H189" i="2" s="1"/>
  <c r="H190" i="2" a="1"/>
  <c r="H190" i="2" s="1"/>
  <c r="H191" i="2" a="1"/>
  <c r="H191" i="2" s="1"/>
  <c r="H192" i="2" a="1"/>
  <c r="H192" i="2" s="1"/>
  <c r="H193" i="2" a="1"/>
  <c r="H193" i="2" s="1"/>
  <c r="G3" i="8" a="1"/>
  <c r="G3" i="8" s="1"/>
  <c r="C3" i="8" s="1"/>
  <c r="G4" i="8" a="1"/>
  <c r="G4" i="8" s="1"/>
  <c r="C4" i="8" s="1"/>
  <c r="G5" i="8" a="1"/>
  <c r="G5" i="8" s="1"/>
  <c r="C5" i="8" s="1"/>
  <c r="G6" i="8" a="1"/>
  <c r="G6" i="8" s="1"/>
  <c r="C6" i="8" s="1"/>
  <c r="G7" i="8" a="1"/>
  <c r="G7" i="8" s="1"/>
  <c r="C7" i="8" s="1"/>
  <c r="G8" i="8" a="1"/>
  <c r="G8" i="8" s="1"/>
  <c r="C8" i="8" s="1"/>
  <c r="G9" i="8" a="1"/>
  <c r="G9" i="8" s="1"/>
  <c r="C9" i="8" s="1"/>
  <c r="G10" i="8" a="1"/>
  <c r="G10" i="8" s="1"/>
  <c r="C10" i="8" s="1"/>
  <c r="G11" i="8" a="1"/>
  <c r="G11" i="8" s="1"/>
  <c r="C11" i="8" s="1"/>
  <c r="G12" i="8" a="1"/>
  <c r="G12" i="8" s="1"/>
  <c r="C12" i="8" s="1"/>
  <c r="G13" i="8" a="1"/>
  <c r="G13" i="8" s="1"/>
  <c r="C13" i="8" s="1"/>
  <c r="G14" i="8" a="1"/>
  <c r="G14" i="8" s="1"/>
  <c r="C14" i="8" s="1"/>
  <c r="G15" i="8" a="1"/>
  <c r="G15" i="8" s="1"/>
  <c r="C15" i="8" s="1"/>
  <c r="G16" i="8" a="1"/>
  <c r="G16" i="8" s="1"/>
  <c r="C16" i="8" s="1"/>
  <c r="G17" i="8" a="1"/>
  <c r="G17" i="8" s="1"/>
  <c r="C17" i="8" s="1"/>
  <c r="G18" i="8" a="1"/>
  <c r="G18" i="8" s="1"/>
  <c r="C18" i="8" s="1"/>
  <c r="G19" i="8" a="1"/>
  <c r="G19" i="8" s="1"/>
  <c r="C19" i="8" s="1"/>
  <c r="G20" i="8" a="1"/>
  <c r="G20" i="8" s="1"/>
  <c r="C20" i="8" s="1"/>
  <c r="G21" i="8" a="1"/>
  <c r="G21" i="8" s="1"/>
  <c r="C21" i="8" s="1"/>
  <c r="G22" i="8" a="1"/>
  <c r="G22" i="8" s="1"/>
  <c r="C22" i="8" s="1"/>
  <c r="G23" i="8" a="1"/>
  <c r="G23" i="8" s="1"/>
  <c r="C23" i="8" s="1"/>
  <c r="G24" i="8" a="1"/>
  <c r="G24" i="8" s="1"/>
  <c r="C24" i="8" s="1"/>
  <c r="G25" i="8" a="1"/>
  <c r="G25" i="8" s="1"/>
  <c r="C25" i="8" s="1"/>
  <c r="G26" i="8" a="1"/>
  <c r="G26" i="8" s="1"/>
  <c r="C26" i="8" s="1"/>
  <c r="G27" i="8" a="1"/>
  <c r="G27" i="8" s="1"/>
  <c r="C27" i="8" s="1"/>
  <c r="G28" i="8" a="1"/>
  <c r="G28" i="8" s="1"/>
  <c r="C28" i="8" s="1"/>
  <c r="G29" i="8" a="1"/>
  <c r="G29" i="8" s="1"/>
  <c r="C29" i="8" s="1"/>
  <c r="G30" i="8" a="1"/>
  <c r="G30" i="8" s="1"/>
  <c r="C30" i="8" s="1"/>
  <c r="G31" i="8" a="1"/>
  <c r="G31" i="8" s="1"/>
  <c r="C31" i="8" s="1"/>
  <c r="G32" i="8" a="1"/>
  <c r="G32" i="8" s="1"/>
  <c r="C32" i="8" s="1"/>
  <c r="G33" i="8" a="1"/>
  <c r="G33" i="8" s="1"/>
  <c r="C33" i="8" s="1"/>
  <c r="G34" i="8" a="1"/>
  <c r="G34" i="8" s="1"/>
  <c r="C34" i="8" s="1"/>
  <c r="G35" i="8" a="1"/>
  <c r="G35" i="8" s="1"/>
  <c r="C35" i="8" s="1"/>
  <c r="G36" i="8" a="1"/>
  <c r="G36" i="8" s="1"/>
  <c r="C36" i="8" s="1"/>
  <c r="G37" i="8" a="1"/>
  <c r="G37" i="8" s="1"/>
  <c r="C37" i="8" s="1"/>
  <c r="G38" i="8" a="1"/>
  <c r="G38" i="8" s="1"/>
  <c r="C38" i="8" s="1"/>
  <c r="G39" i="8" a="1"/>
  <c r="G39" i="8" s="1"/>
  <c r="C39" i="8" s="1"/>
  <c r="G40" i="8" a="1"/>
  <c r="G40" i="8" s="1"/>
  <c r="C40" i="8" s="1"/>
  <c r="G41" i="8" a="1"/>
  <c r="G41" i="8" s="1"/>
  <c r="C41" i="8" s="1"/>
  <c r="G42" i="8" a="1"/>
  <c r="G42" i="8" s="1"/>
  <c r="C42" i="8" s="1"/>
  <c r="G43" i="8" a="1"/>
  <c r="G43" i="8" s="1"/>
  <c r="C43" i="8" s="1"/>
  <c r="G44" i="8" a="1"/>
  <c r="G44" i="8" s="1"/>
  <c r="C44" i="8" s="1"/>
  <c r="G45" i="8" a="1"/>
  <c r="G45" i="8" s="1"/>
  <c r="C45" i="8" s="1"/>
  <c r="G46" i="8" a="1"/>
  <c r="G46" i="8" s="1"/>
  <c r="C46" i="8" s="1"/>
  <c r="G47" i="8" a="1"/>
  <c r="G47" i="8" s="1"/>
  <c r="C47" i="8" s="1"/>
  <c r="G48" i="8" a="1"/>
  <c r="G48" i="8" s="1"/>
  <c r="C48" i="8" s="1"/>
  <c r="G49" i="8" a="1"/>
  <c r="G49" i="8" s="1"/>
  <c r="C49" i="8" s="1"/>
  <c r="G50" i="8" a="1"/>
  <c r="G50" i="8" s="1"/>
  <c r="C50" i="8" s="1"/>
  <c r="G51" i="8" a="1"/>
  <c r="G51" i="8" s="1"/>
  <c r="C51" i="8" s="1"/>
  <c r="G52" i="8" a="1"/>
  <c r="G52" i="8" s="1"/>
  <c r="C52" i="8" s="1"/>
  <c r="G53" i="8" a="1"/>
  <c r="G53" i="8" s="1"/>
  <c r="C53" i="8" s="1"/>
  <c r="G54" i="8" a="1"/>
  <c r="G54" i="8" s="1"/>
  <c r="C54" i="8" s="1"/>
  <c r="G55" i="8" a="1"/>
  <c r="G55" i="8" s="1"/>
  <c r="C55" i="8" s="1"/>
  <c r="G56" i="8" a="1"/>
  <c r="G56" i="8" s="1"/>
  <c r="C56" i="8" s="1"/>
  <c r="G57" i="8" a="1"/>
  <c r="G57" i="8" s="1"/>
  <c r="C57" i="8" s="1"/>
  <c r="G58" i="8" a="1"/>
  <c r="G58" i="8" s="1"/>
  <c r="C58" i="8" s="1"/>
  <c r="G59" i="8" a="1"/>
  <c r="G59" i="8" s="1"/>
  <c r="C59" i="8" s="1"/>
  <c r="G60" i="8" a="1"/>
  <c r="G60" i="8" s="1"/>
  <c r="C60" i="8" s="1"/>
  <c r="G61" i="8" a="1"/>
  <c r="G61" i="8" s="1"/>
  <c r="C61" i="8" s="1"/>
  <c r="G62" i="8" a="1"/>
  <c r="G62" i="8" s="1"/>
  <c r="C62" i="8" s="1"/>
  <c r="G63" i="8" a="1"/>
  <c r="G63" i="8" s="1"/>
  <c r="C63" i="8" s="1"/>
  <c r="G64" i="8" a="1"/>
  <c r="G64" i="8" s="1"/>
  <c r="C64" i="8" s="1"/>
  <c r="G65" i="8" a="1"/>
  <c r="G65" i="8" s="1"/>
  <c r="C65" i="8" s="1"/>
  <c r="G66" i="8" a="1"/>
  <c r="G66" i="8" s="1"/>
  <c r="C66" i="8" s="1"/>
  <c r="G67" i="8" a="1"/>
  <c r="G67" i="8" s="1"/>
  <c r="C67" i="8" s="1"/>
  <c r="G68" i="8" a="1"/>
  <c r="G68" i="8" s="1"/>
  <c r="C68" i="8" s="1"/>
  <c r="G69" i="8" a="1"/>
  <c r="G69" i="8" s="1"/>
  <c r="C69" i="8" s="1"/>
  <c r="G70" i="8" a="1"/>
  <c r="G70" i="8" s="1"/>
  <c r="C70" i="8" s="1"/>
  <c r="G71" i="8" a="1"/>
  <c r="G71" i="8" s="1"/>
  <c r="C71" i="8" s="1"/>
  <c r="G72" i="8" a="1"/>
  <c r="G72" i="8" s="1"/>
  <c r="C72" i="8" s="1"/>
  <c r="G73" i="8" a="1"/>
  <c r="G73" i="8" s="1"/>
  <c r="C73" i="8" s="1"/>
  <c r="G74" i="8" a="1"/>
  <c r="G74" i="8" s="1"/>
  <c r="C74" i="8" s="1"/>
  <c r="G75" i="8" a="1"/>
  <c r="G75" i="8" s="1"/>
  <c r="C75" i="8" s="1"/>
  <c r="G76" i="8" a="1"/>
  <c r="G76" i="8" s="1"/>
  <c r="C76" i="8" s="1"/>
  <c r="G77" i="8" a="1"/>
  <c r="G77" i="8" s="1"/>
  <c r="C77" i="8" s="1"/>
  <c r="G78" i="8" a="1"/>
  <c r="G78" i="8" s="1"/>
  <c r="C78" i="8" s="1"/>
  <c r="G79" i="8" a="1"/>
  <c r="G79" i="8" s="1"/>
  <c r="C79" i="8" s="1"/>
  <c r="G80" i="8" a="1"/>
  <c r="G80" i="8" s="1"/>
  <c r="C80" i="8" s="1"/>
  <c r="G81" i="8" a="1"/>
  <c r="G81" i="8" s="1"/>
  <c r="C81" i="8" s="1"/>
  <c r="G82" i="8" a="1"/>
  <c r="G82" i="8" s="1"/>
  <c r="C82" i="8" s="1"/>
  <c r="G83" i="8" a="1"/>
  <c r="G83" i="8" s="1"/>
  <c r="C83" i="8" s="1"/>
  <c r="G84" i="8" a="1"/>
  <c r="G84" i="8" s="1"/>
  <c r="C84" i="8" s="1"/>
  <c r="G85" i="8" a="1"/>
  <c r="G85" i="8" s="1"/>
  <c r="C85" i="8" s="1"/>
  <c r="G2" i="8" a="1"/>
  <c r="G2" i="8" s="1"/>
  <c r="C2" i="8" s="1"/>
  <c r="F3" i="8" a="1"/>
  <c r="F3" i="8" s="1"/>
  <c r="F4" i="8" a="1"/>
  <c r="F4" i="8" s="1"/>
  <c r="F5" i="8" a="1"/>
  <c r="F5" i="8" s="1"/>
  <c r="F6" i="8" a="1"/>
  <c r="F6" i="8" s="1"/>
  <c r="F7" i="8" a="1"/>
  <c r="F7" i="8" s="1"/>
  <c r="F8" i="8" a="1"/>
  <c r="F8" i="8" s="1"/>
  <c r="F9" i="8" a="1"/>
  <c r="F9" i="8" s="1"/>
  <c r="F10" i="8" a="1"/>
  <c r="F10" i="8" s="1"/>
  <c r="F11" i="8" a="1"/>
  <c r="F11" i="8" s="1"/>
  <c r="F12" i="8" a="1"/>
  <c r="F12" i="8" s="1"/>
  <c r="F13" i="8" a="1"/>
  <c r="F13" i="8" s="1"/>
  <c r="F14" i="8" a="1"/>
  <c r="F14" i="8" s="1"/>
  <c r="F15" i="8" a="1"/>
  <c r="F15" i="8" s="1"/>
  <c r="F16" i="8" a="1"/>
  <c r="F16" i="8" s="1"/>
  <c r="F17" i="8" a="1"/>
  <c r="F17" i="8" s="1"/>
  <c r="F18" i="8" a="1"/>
  <c r="F18" i="8" s="1"/>
  <c r="F19" i="8" a="1"/>
  <c r="F19" i="8" s="1"/>
  <c r="F20" i="8" a="1"/>
  <c r="F20" i="8" s="1"/>
  <c r="F21" i="8" a="1"/>
  <c r="F21" i="8" s="1"/>
  <c r="F22" i="8" a="1"/>
  <c r="F22" i="8" s="1"/>
  <c r="F23" i="8" a="1"/>
  <c r="F23" i="8" s="1"/>
  <c r="F24" i="8" a="1"/>
  <c r="F24" i="8" s="1"/>
  <c r="F25" i="8" a="1"/>
  <c r="F25" i="8" s="1"/>
  <c r="F26" i="8" a="1"/>
  <c r="F26" i="8" s="1"/>
  <c r="F27" i="8" a="1"/>
  <c r="F27" i="8" s="1"/>
  <c r="F28" i="8" a="1"/>
  <c r="F28" i="8" s="1"/>
  <c r="F29" i="8" a="1"/>
  <c r="F29" i="8" s="1"/>
  <c r="F30" i="8" a="1"/>
  <c r="F30" i="8" s="1"/>
  <c r="F31" i="8" a="1"/>
  <c r="F31" i="8" s="1"/>
  <c r="F32" i="8" a="1"/>
  <c r="F32" i="8" s="1"/>
  <c r="F33" i="8" a="1"/>
  <c r="F33" i="8" s="1"/>
  <c r="F34" i="8" a="1"/>
  <c r="F34" i="8" s="1"/>
  <c r="F35" i="8" a="1"/>
  <c r="F35" i="8" s="1"/>
  <c r="F36" i="8" a="1"/>
  <c r="F36" i="8" s="1"/>
  <c r="F37" i="8" a="1"/>
  <c r="F37" i="8" s="1"/>
  <c r="F38" i="8" a="1"/>
  <c r="F38" i="8" s="1"/>
  <c r="F39" i="8" a="1"/>
  <c r="F39" i="8" s="1"/>
  <c r="F40" i="8" a="1"/>
  <c r="F40" i="8" s="1"/>
  <c r="F41" i="8" a="1"/>
  <c r="F41" i="8" s="1"/>
  <c r="F42" i="8" a="1"/>
  <c r="F42" i="8" s="1"/>
  <c r="F43" i="8" a="1"/>
  <c r="F43" i="8" s="1"/>
  <c r="F44" i="8" a="1"/>
  <c r="F44" i="8" s="1"/>
  <c r="F45" i="8" a="1"/>
  <c r="F45" i="8" s="1"/>
  <c r="F46" i="8" a="1"/>
  <c r="F46" i="8" s="1"/>
  <c r="F47" i="8" a="1"/>
  <c r="F47" i="8" s="1"/>
  <c r="F48" i="8" a="1"/>
  <c r="F48" i="8" s="1"/>
  <c r="F49" i="8" a="1"/>
  <c r="F49" i="8" s="1"/>
  <c r="F50" i="8" a="1"/>
  <c r="F50" i="8" s="1"/>
  <c r="F51" i="8" a="1"/>
  <c r="F51" i="8" s="1"/>
  <c r="F52" i="8" a="1"/>
  <c r="F52" i="8" s="1"/>
  <c r="F53" i="8" a="1"/>
  <c r="F53" i="8" s="1"/>
  <c r="F54" i="8" a="1"/>
  <c r="F54" i="8" s="1"/>
  <c r="F55" i="8" a="1"/>
  <c r="F55" i="8" s="1"/>
  <c r="F56" i="8" a="1"/>
  <c r="F56" i="8" s="1"/>
  <c r="F57" i="8" a="1"/>
  <c r="F57" i="8" s="1"/>
  <c r="F58" i="8" a="1"/>
  <c r="F58" i="8" s="1"/>
  <c r="F59" i="8" a="1"/>
  <c r="F59" i="8" s="1"/>
  <c r="F60" i="8" a="1"/>
  <c r="F60" i="8" s="1"/>
  <c r="F61" i="8" a="1"/>
  <c r="F61" i="8" s="1"/>
  <c r="F62" i="8" a="1"/>
  <c r="F62" i="8" s="1"/>
  <c r="F63" i="8" a="1"/>
  <c r="F63" i="8" s="1"/>
  <c r="F64" i="8" a="1"/>
  <c r="F64" i="8" s="1"/>
  <c r="F65" i="8" a="1"/>
  <c r="F65" i="8" s="1"/>
  <c r="F66" i="8" a="1"/>
  <c r="F66" i="8" s="1"/>
  <c r="F67" i="8" a="1"/>
  <c r="F67" i="8" s="1"/>
  <c r="F68" i="8" a="1"/>
  <c r="F68" i="8" s="1"/>
  <c r="F69" i="8" a="1"/>
  <c r="F69" i="8" s="1"/>
  <c r="F70" i="8" a="1"/>
  <c r="F70" i="8" s="1"/>
  <c r="F71" i="8" a="1"/>
  <c r="F71" i="8" s="1"/>
  <c r="F72" i="8" a="1"/>
  <c r="F72" i="8" s="1"/>
  <c r="F73" i="8" a="1"/>
  <c r="F73" i="8" s="1"/>
  <c r="F74" i="8" a="1"/>
  <c r="F74" i="8" s="1"/>
  <c r="F75" i="8" a="1"/>
  <c r="F75" i="8" s="1"/>
  <c r="F76" i="8" a="1"/>
  <c r="F76" i="8" s="1"/>
  <c r="F77" i="8" a="1"/>
  <c r="F77" i="8" s="1"/>
  <c r="F78" i="8" a="1"/>
  <c r="F78" i="8" s="1"/>
  <c r="F79" i="8" a="1"/>
  <c r="F79" i="8" s="1"/>
  <c r="F80" i="8" a="1"/>
  <c r="F80" i="8" s="1"/>
  <c r="F81" i="8" a="1"/>
  <c r="F81" i="8" s="1"/>
  <c r="F82" i="8" a="1"/>
  <c r="F82" i="8" s="1"/>
  <c r="F83" i="8" a="1"/>
  <c r="F83" i="8" s="1"/>
  <c r="F84" i="8" a="1"/>
  <c r="F84" i="8" s="1"/>
  <c r="F85" i="8" a="1"/>
  <c r="F85" i="8" s="1"/>
  <c r="F2" i="8" a="1"/>
  <c r="F2" i="8" s="1"/>
  <c r="E3" i="8" a="1"/>
  <c r="E3" i="8" s="1"/>
  <c r="E4" i="8" a="1"/>
  <c r="E4" i="8" s="1"/>
  <c r="E5" i="8" a="1"/>
  <c r="E5" i="8" s="1"/>
  <c r="E6" i="8" a="1"/>
  <c r="E6" i="8" s="1"/>
  <c r="E7" i="8" a="1"/>
  <c r="E7" i="8" s="1"/>
  <c r="E8" i="8" a="1"/>
  <c r="E8" i="8" s="1"/>
  <c r="E9" i="8" a="1"/>
  <c r="E9" i="8" s="1"/>
  <c r="V37" i="7" s="1"/>
  <c r="E10" i="8" a="1"/>
  <c r="E10" i="8" s="1"/>
  <c r="E11" i="8" a="1"/>
  <c r="E11" i="8" s="1"/>
  <c r="E12" i="8" a="1"/>
  <c r="E12" i="8" s="1"/>
  <c r="E13" i="8" a="1"/>
  <c r="E13" i="8" s="1"/>
  <c r="E14" i="8" a="1"/>
  <c r="E14" i="8" s="1"/>
  <c r="E15" i="8" a="1"/>
  <c r="E15" i="8" s="1"/>
  <c r="E16" i="8" a="1"/>
  <c r="E16" i="8" s="1"/>
  <c r="V38" i="7" s="1"/>
  <c r="E17" i="8" a="1"/>
  <c r="E17" i="8" s="1"/>
  <c r="E18" i="8" a="1"/>
  <c r="E18" i="8" s="1"/>
  <c r="E19" i="8" a="1"/>
  <c r="E19" i="8" s="1"/>
  <c r="E20" i="8" a="1"/>
  <c r="E20" i="8" s="1"/>
  <c r="E21" i="8" a="1"/>
  <c r="E21" i="8" s="1"/>
  <c r="E22" i="8" a="1"/>
  <c r="E22" i="8" s="1"/>
  <c r="E23" i="8" a="1"/>
  <c r="E23" i="8" s="1"/>
  <c r="V39" i="7" s="1"/>
  <c r="E24" i="8" a="1"/>
  <c r="E24" i="8" s="1"/>
  <c r="E25" i="8" a="1"/>
  <c r="E25" i="8" s="1"/>
  <c r="E26" i="8" a="1"/>
  <c r="E26" i="8" s="1"/>
  <c r="E27" i="8" a="1"/>
  <c r="E27" i="8" s="1"/>
  <c r="E28" i="8" a="1"/>
  <c r="E28" i="8" s="1"/>
  <c r="E29" i="8" a="1"/>
  <c r="E29" i="8" s="1"/>
  <c r="E30" i="8" a="1"/>
  <c r="E30" i="8" s="1"/>
  <c r="V40" i="7" s="1"/>
  <c r="E31" i="8" a="1"/>
  <c r="E31" i="8" s="1"/>
  <c r="E32" i="8" a="1"/>
  <c r="E32" i="8" s="1"/>
  <c r="E33" i="8" a="1"/>
  <c r="E33" i="8" s="1"/>
  <c r="E34" i="8" a="1"/>
  <c r="E34" i="8" s="1"/>
  <c r="E35" i="8" a="1"/>
  <c r="E35" i="8" s="1"/>
  <c r="E36" i="8" a="1"/>
  <c r="E36" i="8" s="1"/>
  <c r="E37" i="8" a="1"/>
  <c r="E37" i="8" s="1"/>
  <c r="V41" i="7" s="1"/>
  <c r="E38" i="8" a="1"/>
  <c r="E38" i="8" s="1"/>
  <c r="E39" i="8" a="1"/>
  <c r="E39" i="8" s="1"/>
  <c r="E40" i="8" a="1"/>
  <c r="E40" i="8" s="1"/>
  <c r="E41" i="8" a="1"/>
  <c r="E41" i="8" s="1"/>
  <c r="E42" i="8" a="1"/>
  <c r="E42" i="8" s="1"/>
  <c r="E43" i="8" a="1"/>
  <c r="E43" i="8" s="1"/>
  <c r="E44" i="8" a="1"/>
  <c r="E44" i="8" s="1"/>
  <c r="V42" i="7" s="1"/>
  <c r="E45" i="8" a="1"/>
  <c r="E45" i="8" s="1"/>
  <c r="E46" i="8" a="1"/>
  <c r="E46" i="8" s="1"/>
  <c r="E47" i="8" a="1"/>
  <c r="E47" i="8" s="1"/>
  <c r="E48" i="8" a="1"/>
  <c r="E48" i="8" s="1"/>
  <c r="E49" i="8" a="1"/>
  <c r="E49" i="8" s="1"/>
  <c r="E50" i="8" a="1"/>
  <c r="E50" i="8" s="1"/>
  <c r="E51" i="8" a="1"/>
  <c r="E51" i="8" s="1"/>
  <c r="V43" i="7" s="1"/>
  <c r="E52" i="8" a="1"/>
  <c r="E52" i="8" s="1"/>
  <c r="E53" i="8" a="1"/>
  <c r="E53" i="8" s="1"/>
  <c r="E54" i="8" a="1"/>
  <c r="E54" i="8" s="1"/>
  <c r="E55" i="8" a="1"/>
  <c r="E55" i="8" s="1"/>
  <c r="E56" i="8" a="1"/>
  <c r="E56" i="8" s="1"/>
  <c r="E57" i="8" a="1"/>
  <c r="E57" i="8" s="1"/>
  <c r="E58" i="8" a="1"/>
  <c r="E58" i="8" s="1"/>
  <c r="V44" i="7" s="1"/>
  <c r="E59" i="8" a="1"/>
  <c r="E59" i="8" s="1"/>
  <c r="E60" i="8" a="1"/>
  <c r="E60" i="8" s="1"/>
  <c r="E61" i="8" a="1"/>
  <c r="E61" i="8" s="1"/>
  <c r="E62" i="8" a="1"/>
  <c r="E62" i="8" s="1"/>
  <c r="E63" i="8" a="1"/>
  <c r="E63" i="8" s="1"/>
  <c r="E64" i="8" a="1"/>
  <c r="E64" i="8" s="1"/>
  <c r="E65" i="8" a="1"/>
  <c r="E65" i="8" s="1"/>
  <c r="V45" i="7" s="1"/>
  <c r="E66" i="8" a="1"/>
  <c r="E66" i="8" s="1"/>
  <c r="E67" i="8" a="1"/>
  <c r="E67" i="8" s="1"/>
  <c r="E68" i="8" a="1"/>
  <c r="E68" i="8" s="1"/>
  <c r="E69" i="8" a="1"/>
  <c r="E69" i="8" s="1"/>
  <c r="E70" i="8" a="1"/>
  <c r="E70" i="8" s="1"/>
  <c r="E71" i="8" a="1"/>
  <c r="E71" i="8" s="1"/>
  <c r="E72" i="8" a="1"/>
  <c r="E72" i="8" s="1"/>
  <c r="V46" i="7" s="1"/>
  <c r="E73" i="8" a="1"/>
  <c r="E73" i="8" s="1"/>
  <c r="E74" i="8" a="1"/>
  <c r="E74" i="8" s="1"/>
  <c r="E75" i="8" a="1"/>
  <c r="E75" i="8" s="1"/>
  <c r="E76" i="8" a="1"/>
  <c r="E76" i="8" s="1"/>
  <c r="E77" i="8" a="1"/>
  <c r="E77" i="8" s="1"/>
  <c r="E78" i="8" a="1"/>
  <c r="E78" i="8" s="1"/>
  <c r="E79" i="8" a="1"/>
  <c r="E79" i="8" s="1"/>
  <c r="V47" i="7" s="1"/>
  <c r="E80" i="8" a="1"/>
  <c r="E80" i="8" s="1"/>
  <c r="E81" i="8" a="1"/>
  <c r="E81" i="8" s="1"/>
  <c r="E82" i="8" a="1"/>
  <c r="E82" i="8" s="1"/>
  <c r="E83" i="8" a="1"/>
  <c r="E83" i="8" s="1"/>
  <c r="E84" i="8" a="1"/>
  <c r="E84" i="8" s="1"/>
  <c r="E85" i="8" a="1"/>
  <c r="E85" i="8" s="1"/>
  <c r="E2" i="8" a="1"/>
  <c r="E2" i="8" s="1"/>
  <c r="V36" i="7" s="1"/>
  <c r="D3" i="8" a="1"/>
  <c r="D3" i="8" s="1"/>
  <c r="H3" i="8" s="1"/>
  <c r="I3" i="8" s="1"/>
  <c r="D4" i="8" a="1"/>
  <c r="D4" i="8" s="1"/>
  <c r="J4" i="8" s="1"/>
  <c r="D5" i="8" a="1"/>
  <c r="D5" i="8" s="1"/>
  <c r="J5" i="8" s="1"/>
  <c r="D6" i="8" a="1"/>
  <c r="D6" i="8" s="1"/>
  <c r="J6" i="8" s="1"/>
  <c r="D7" i="8" a="1"/>
  <c r="D7" i="8" s="1"/>
  <c r="H7" i="8" s="1"/>
  <c r="I7" i="8" s="1"/>
  <c r="D8" i="8" a="1"/>
  <c r="D8" i="8" s="1"/>
  <c r="H8" i="8" s="1"/>
  <c r="I8" i="8" s="1"/>
  <c r="D9" i="8" a="1"/>
  <c r="D9" i="8" s="1"/>
  <c r="U37" i="7" s="1"/>
  <c r="X37" i="7" s="1"/>
  <c r="D10" i="8" a="1"/>
  <c r="D10" i="8" s="1"/>
  <c r="H10" i="8" s="1"/>
  <c r="I10" i="8" s="1"/>
  <c r="D11" i="8" a="1"/>
  <c r="D11" i="8" s="1"/>
  <c r="H11" i="8" s="1"/>
  <c r="I11" i="8" s="1"/>
  <c r="D12" i="8" a="1"/>
  <c r="D12" i="8" s="1"/>
  <c r="H12" i="8" s="1"/>
  <c r="I12" i="8" s="1"/>
  <c r="D13" i="8" a="1"/>
  <c r="D13" i="8" s="1"/>
  <c r="H13" i="8" s="1"/>
  <c r="I13" i="8" s="1"/>
  <c r="D14" i="8" a="1"/>
  <c r="D14" i="8" s="1"/>
  <c r="H14" i="8" s="1"/>
  <c r="I14" i="8" s="1"/>
  <c r="D15" i="8" a="1"/>
  <c r="D15" i="8" s="1"/>
  <c r="H15" i="8" s="1"/>
  <c r="I15" i="8" s="1"/>
  <c r="D16" i="8" a="1"/>
  <c r="D16" i="8" s="1"/>
  <c r="J16" i="8" s="1"/>
  <c r="D17" i="8" a="1"/>
  <c r="D17" i="8" s="1"/>
  <c r="J17" i="8" s="1"/>
  <c r="D18" i="8" a="1"/>
  <c r="D18" i="8" s="1"/>
  <c r="J18" i="8" s="1"/>
  <c r="D19" i="8" a="1"/>
  <c r="D19" i="8" s="1"/>
  <c r="H19" i="8" s="1"/>
  <c r="I19" i="8" s="1"/>
  <c r="D20" i="8" a="1"/>
  <c r="D20" i="8" s="1"/>
  <c r="H20" i="8" s="1"/>
  <c r="I20" i="8" s="1"/>
  <c r="D21" i="8" a="1"/>
  <c r="D21" i="8" s="1"/>
  <c r="H21" i="8" s="1"/>
  <c r="I21" i="8" s="1"/>
  <c r="D22" i="8" a="1"/>
  <c r="D22" i="8" s="1"/>
  <c r="J22" i="8" s="1"/>
  <c r="D23" i="8" a="1"/>
  <c r="D23" i="8" s="1"/>
  <c r="U39" i="7" s="1"/>
  <c r="D24" i="8" a="1"/>
  <c r="D24" i="8" s="1"/>
  <c r="H24" i="8" s="1"/>
  <c r="I24" i="8" s="1"/>
  <c r="D25" i="8" a="1"/>
  <c r="D25" i="8" s="1"/>
  <c r="H25" i="8" s="1"/>
  <c r="I25" i="8" s="1"/>
  <c r="D26" i="8" a="1"/>
  <c r="D26" i="8" s="1"/>
  <c r="H26" i="8" s="1"/>
  <c r="I26" i="8" s="1"/>
  <c r="D27" i="8" a="1"/>
  <c r="D27" i="8" s="1"/>
  <c r="H27" i="8" s="1"/>
  <c r="I27" i="8" s="1"/>
  <c r="D28" i="8" a="1"/>
  <c r="D28" i="8" s="1"/>
  <c r="H28" i="8" s="1"/>
  <c r="I28" i="8" s="1"/>
  <c r="D29" i="8" a="1"/>
  <c r="D29" i="8" s="1"/>
  <c r="J29" i="8" s="1"/>
  <c r="D30" i="8" a="1"/>
  <c r="D30" i="8" s="1"/>
  <c r="J30" i="8" s="1"/>
  <c r="D31" i="8" a="1"/>
  <c r="D31" i="8" s="1"/>
  <c r="H31" i="8" s="1"/>
  <c r="I31" i="8" s="1"/>
  <c r="D32" i="8" a="1"/>
  <c r="D32" i="8" s="1"/>
  <c r="H32" i="8" s="1"/>
  <c r="I32" i="8" s="1"/>
  <c r="D33" i="8" a="1"/>
  <c r="D33" i="8" s="1"/>
  <c r="H33" i="8" s="1"/>
  <c r="I33" i="8" s="1"/>
  <c r="D34" i="8" a="1"/>
  <c r="D34" i="8" s="1"/>
  <c r="H34" i="8" s="1"/>
  <c r="I34" i="8" s="1"/>
  <c r="D35" i="8" a="1"/>
  <c r="D35" i="8" s="1"/>
  <c r="H35" i="8" s="1"/>
  <c r="I35" i="8" s="1"/>
  <c r="D36" i="8" a="1"/>
  <c r="D36" i="8" s="1"/>
  <c r="J36" i="8" s="1"/>
  <c r="D37" i="8" a="1"/>
  <c r="D37" i="8" s="1"/>
  <c r="U41" i="7" s="1"/>
  <c r="X41" i="7" s="1"/>
  <c r="D38" i="8" a="1"/>
  <c r="D38" i="8" s="1"/>
  <c r="H38" i="8" s="1"/>
  <c r="I38" i="8" s="1"/>
  <c r="D39" i="8" a="1"/>
  <c r="D39" i="8" s="1"/>
  <c r="H39" i="8" s="1"/>
  <c r="I39" i="8" s="1"/>
  <c r="D40" i="8" a="1"/>
  <c r="D40" i="8" s="1"/>
  <c r="J40" i="8" s="1"/>
  <c r="D41" i="8" a="1"/>
  <c r="D41" i="8" s="1"/>
  <c r="J41" i="8" s="1"/>
  <c r="D42" i="8" a="1"/>
  <c r="D42" i="8" s="1"/>
  <c r="H42" i="8" s="1"/>
  <c r="I42" i="8" s="1"/>
  <c r="D43" i="8" a="1"/>
  <c r="D43" i="8" s="1"/>
  <c r="H43" i="8" s="1"/>
  <c r="I43" i="8" s="1"/>
  <c r="D44" i="8" a="1"/>
  <c r="D44" i="8" s="1"/>
  <c r="U42" i="7" s="1"/>
  <c r="X42" i="7" s="1"/>
  <c r="D45" i="8" a="1"/>
  <c r="D45" i="8" s="1"/>
  <c r="H45" i="8" s="1"/>
  <c r="I45" i="8" s="1"/>
  <c r="D46" i="8" a="1"/>
  <c r="D46" i="8" s="1"/>
  <c r="H46" i="8" s="1"/>
  <c r="I46" i="8" s="1"/>
  <c r="D47" i="8" a="1"/>
  <c r="D47" i="8" s="1"/>
  <c r="J47" i="8" s="1"/>
  <c r="D48" i="8" a="1"/>
  <c r="D48" i="8" s="1"/>
  <c r="J48" i="8" s="1"/>
  <c r="D49" i="8" a="1"/>
  <c r="D49" i="8" s="1"/>
  <c r="H49" i="8" s="1"/>
  <c r="I49" i="8" s="1"/>
  <c r="D50" i="8" a="1"/>
  <c r="D50" i="8" s="1"/>
  <c r="H50" i="8" s="1"/>
  <c r="I50" i="8" s="1"/>
  <c r="D51" i="8" a="1"/>
  <c r="D51" i="8" s="1"/>
  <c r="U43" i="7" s="1"/>
  <c r="D52" i="8" a="1"/>
  <c r="D52" i="8" s="1"/>
  <c r="J52" i="8" s="1"/>
  <c r="D53" i="8" a="1"/>
  <c r="D53" i="8" s="1"/>
  <c r="J53" i="8" s="1"/>
  <c r="D54" i="8" a="1"/>
  <c r="D54" i="8" s="1"/>
  <c r="H54" i="8" s="1"/>
  <c r="I54" i="8" s="1"/>
  <c r="D55" i="8" a="1"/>
  <c r="D55" i="8" s="1"/>
  <c r="H55" i="8" s="1"/>
  <c r="I55" i="8" s="1"/>
  <c r="D56" i="8" a="1"/>
  <c r="D56" i="8" s="1"/>
  <c r="H56" i="8" s="1"/>
  <c r="I56" i="8" s="1"/>
  <c r="D57" i="8" a="1"/>
  <c r="D57" i="8" s="1"/>
  <c r="J57" i="8" s="1"/>
  <c r="D58" i="8" a="1"/>
  <c r="D58" i="8" s="1"/>
  <c r="U44" i="7" s="1"/>
  <c r="D59" i="8" a="1"/>
  <c r="D59" i="8" s="1"/>
  <c r="H59" i="8" s="1"/>
  <c r="I59" i="8" s="1"/>
  <c r="D60" i="8" a="1"/>
  <c r="D60" i="8" s="1"/>
  <c r="H60" i="8" s="1"/>
  <c r="I60" i="8" s="1"/>
  <c r="D61" i="8" a="1"/>
  <c r="D61" i="8" s="1"/>
  <c r="H61" i="8" s="1"/>
  <c r="I61" i="8" s="1"/>
  <c r="D62" i="8" a="1"/>
  <c r="D62" i="8" s="1"/>
  <c r="H62" i="8" s="1"/>
  <c r="I62" i="8" s="1"/>
  <c r="D63" i="8" a="1"/>
  <c r="D63" i="8" s="1"/>
  <c r="H63" i="8" s="1"/>
  <c r="I63" i="8" s="1"/>
  <c r="D64" i="8" a="1"/>
  <c r="D64" i="8" s="1"/>
  <c r="J64" i="8" s="1"/>
  <c r="D65" i="8" a="1"/>
  <c r="D65" i="8" s="1"/>
  <c r="U45" i="7" s="1"/>
  <c r="D66" i="8" a="1"/>
  <c r="D66" i="8" s="1"/>
  <c r="H66" i="8" s="1"/>
  <c r="I66" i="8" s="1"/>
  <c r="D67" i="8" a="1"/>
  <c r="D67" i="8" s="1"/>
  <c r="H67" i="8" s="1"/>
  <c r="I67" i="8" s="1"/>
  <c r="D68" i="8" a="1"/>
  <c r="D68" i="8" s="1"/>
  <c r="H68" i="8" s="1"/>
  <c r="I68" i="8" s="1"/>
  <c r="D69" i="8" a="1"/>
  <c r="D69" i="8" s="1"/>
  <c r="H69" i="8" s="1"/>
  <c r="I69" i="8" s="1"/>
  <c r="D70" i="8" a="1"/>
  <c r="D70" i="8" s="1"/>
  <c r="H70" i="8" s="1"/>
  <c r="I70" i="8" s="1"/>
  <c r="D71" i="8" a="1"/>
  <c r="D71" i="8" s="1"/>
  <c r="H71" i="8" s="1"/>
  <c r="I71" i="8" s="1"/>
  <c r="D72" i="8" a="1"/>
  <c r="D72" i="8" s="1"/>
  <c r="U46" i="7" s="1"/>
  <c r="X46" i="7" s="1"/>
  <c r="D73" i="8" a="1"/>
  <c r="D73" i="8" s="1"/>
  <c r="H73" i="8" s="1"/>
  <c r="I73" i="8" s="1"/>
  <c r="D74" i="8" a="1"/>
  <c r="D74" i="8" s="1"/>
  <c r="H74" i="8" s="1"/>
  <c r="I74" i="8" s="1"/>
  <c r="D75" i="8" a="1"/>
  <c r="D75" i="8" s="1"/>
  <c r="H75" i="8" s="1"/>
  <c r="I75" i="8" s="1"/>
  <c r="D76" i="8" a="1"/>
  <c r="D76" i="8" s="1"/>
  <c r="H76" i="8" s="1"/>
  <c r="I76" i="8" s="1"/>
  <c r="D77" i="8" a="1"/>
  <c r="D77" i="8" s="1"/>
  <c r="J77" i="8" s="1"/>
  <c r="D78" i="8" a="1"/>
  <c r="D78" i="8" s="1"/>
  <c r="H78" i="8" s="1"/>
  <c r="I78" i="8" s="1"/>
  <c r="D79" i="8" a="1"/>
  <c r="D79" i="8" s="1"/>
  <c r="U47" i="7" s="1"/>
  <c r="X47" i="7" s="1"/>
  <c r="D80" i="8" a="1"/>
  <c r="D80" i="8" s="1"/>
  <c r="H80" i="8" s="1"/>
  <c r="I80" i="8" s="1"/>
  <c r="D81" i="8" a="1"/>
  <c r="D81" i="8" s="1"/>
  <c r="H81" i="8" s="1"/>
  <c r="I81" i="8" s="1"/>
  <c r="D82" i="8" a="1"/>
  <c r="D82" i="8" s="1"/>
  <c r="H82" i="8" s="1"/>
  <c r="I82" i="8" s="1"/>
  <c r="D83" i="8" a="1"/>
  <c r="D83" i="8" s="1"/>
  <c r="J83" i="8" s="1"/>
  <c r="D84" i="8" a="1"/>
  <c r="D84" i="8" s="1"/>
  <c r="H84" i="8" s="1"/>
  <c r="I84" i="8" s="1"/>
  <c r="D85" i="8" a="1"/>
  <c r="D85" i="8" s="1"/>
  <c r="H85" i="8" s="1"/>
  <c r="I85" i="8" s="1"/>
  <c r="D2" i="8" a="1"/>
  <c r="D2" i="8" s="1"/>
  <c r="U36" i="7" s="1"/>
  <c r="W22" i="7"/>
  <c r="W23" i="7"/>
  <c r="X24" i="7"/>
  <c r="W25" i="7"/>
  <c r="W26" i="7"/>
  <c r="W27" i="7"/>
  <c r="X28" i="7"/>
  <c r="W29" i="7"/>
  <c r="W30" i="7"/>
  <c r="W31" i="7"/>
  <c r="X32" i="7"/>
  <c r="W4" i="7"/>
  <c r="X4" i="7" s="1"/>
  <c r="W21" i="7"/>
  <c r="X7" i="7"/>
  <c r="X8" i="7"/>
  <c r="X9" i="7"/>
  <c r="X10" i="7"/>
  <c r="X11" i="7"/>
  <c r="W12" i="7"/>
  <c r="W13" i="7"/>
  <c r="X6" i="7"/>
  <c r="F36" i="7"/>
  <c r="AF10" i="6"/>
  <c r="I7" i="1"/>
  <c r="I6" i="1"/>
  <c r="C4" i="1"/>
  <c r="N3" i="1"/>
  <c r="R187" i="2" l="1"/>
  <c r="R43" i="2"/>
  <c r="U91" i="2"/>
  <c r="R175" i="2"/>
  <c r="R31" i="2"/>
  <c r="U79" i="2"/>
  <c r="R163" i="2"/>
  <c r="R19" i="2"/>
  <c r="U67" i="2"/>
  <c r="R151" i="2"/>
  <c r="R7" i="2"/>
  <c r="U55" i="2"/>
  <c r="R139" i="2"/>
  <c r="U43" i="2"/>
  <c r="R127" i="2"/>
  <c r="U175" i="2"/>
  <c r="U31" i="2"/>
  <c r="R115" i="2"/>
  <c r="U19" i="2"/>
  <c r="R103" i="2"/>
  <c r="U7" i="2"/>
  <c r="R79" i="2"/>
  <c r="R55" i="2"/>
  <c r="R186" i="2"/>
  <c r="R174" i="2"/>
  <c r="R162" i="2"/>
  <c r="R150" i="2"/>
  <c r="R138" i="2"/>
  <c r="R126" i="2"/>
  <c r="R114" i="2"/>
  <c r="R102" i="2"/>
  <c r="R90" i="2"/>
  <c r="R78" i="2"/>
  <c r="R66" i="2"/>
  <c r="R54" i="2"/>
  <c r="R42" i="2"/>
  <c r="R30" i="2"/>
  <c r="R18" i="2"/>
  <c r="R6" i="2"/>
  <c r="U90" i="2"/>
  <c r="U54" i="2"/>
  <c r="U42" i="2"/>
  <c r="U30" i="2"/>
  <c r="U18" i="2"/>
  <c r="U6" i="2"/>
  <c r="R185" i="2"/>
  <c r="R173" i="2"/>
  <c r="R161" i="2"/>
  <c r="R149" i="2"/>
  <c r="R137" i="2"/>
  <c r="R125" i="2"/>
  <c r="R113" i="2"/>
  <c r="R101" i="2"/>
  <c r="R89" i="2"/>
  <c r="R77" i="2"/>
  <c r="R65" i="2"/>
  <c r="R53" i="2"/>
  <c r="R41" i="2"/>
  <c r="R29" i="2"/>
  <c r="R17" i="2"/>
  <c r="R5" i="2"/>
  <c r="U185" i="2"/>
  <c r="U101" i="2"/>
  <c r="U53" i="2"/>
  <c r="U41" i="2"/>
  <c r="U29" i="2"/>
  <c r="U17" i="2"/>
  <c r="U5" i="2"/>
  <c r="R184" i="2"/>
  <c r="R172" i="2"/>
  <c r="R160" i="2"/>
  <c r="R148" i="2"/>
  <c r="R136" i="2"/>
  <c r="R124" i="2"/>
  <c r="R112" i="2"/>
  <c r="R100" i="2"/>
  <c r="R88" i="2"/>
  <c r="R76" i="2"/>
  <c r="R64" i="2"/>
  <c r="R52" i="2"/>
  <c r="R40" i="2"/>
  <c r="R28" i="2"/>
  <c r="R16" i="2"/>
  <c r="R4" i="2"/>
  <c r="U52" i="2"/>
  <c r="U40" i="2"/>
  <c r="U28" i="2"/>
  <c r="U16" i="2"/>
  <c r="U4" i="2"/>
  <c r="R183" i="2"/>
  <c r="R171" i="2"/>
  <c r="R159" i="2"/>
  <c r="R147" i="2"/>
  <c r="R135" i="2"/>
  <c r="R123" i="2"/>
  <c r="R111" i="2"/>
  <c r="R99" i="2"/>
  <c r="R87" i="2"/>
  <c r="R75" i="2"/>
  <c r="R63" i="2"/>
  <c r="R51" i="2"/>
  <c r="R39" i="2"/>
  <c r="R27" i="2"/>
  <c r="R15" i="2"/>
  <c r="R3" i="2"/>
  <c r="U51" i="2"/>
  <c r="U39" i="2"/>
  <c r="U27" i="2"/>
  <c r="U15" i="2"/>
  <c r="U3" i="2"/>
  <c r="R182" i="2"/>
  <c r="R170" i="2"/>
  <c r="R158" i="2"/>
  <c r="R146" i="2"/>
  <c r="R134" i="2"/>
  <c r="R122" i="2"/>
  <c r="R110" i="2"/>
  <c r="R98" i="2"/>
  <c r="R86" i="2"/>
  <c r="R74" i="2"/>
  <c r="R62" i="2"/>
  <c r="R50" i="2"/>
  <c r="R38" i="2"/>
  <c r="R26" i="2"/>
  <c r="R14" i="2"/>
  <c r="R2" i="2"/>
  <c r="U170" i="2"/>
  <c r="U134" i="2"/>
  <c r="U122" i="2"/>
  <c r="U50" i="2"/>
  <c r="U38" i="2"/>
  <c r="U26" i="2"/>
  <c r="U14" i="2"/>
  <c r="U2" i="2"/>
  <c r="R193" i="2"/>
  <c r="R181" i="2"/>
  <c r="R169" i="2"/>
  <c r="R157" i="2"/>
  <c r="R145" i="2"/>
  <c r="R133" i="2"/>
  <c r="R121" i="2"/>
  <c r="R109" i="2"/>
  <c r="R97" i="2"/>
  <c r="R85" i="2"/>
  <c r="R73" i="2"/>
  <c r="R61" i="2"/>
  <c r="R49" i="2"/>
  <c r="R37" i="2"/>
  <c r="R25" i="2"/>
  <c r="R13" i="2"/>
  <c r="U181" i="2"/>
  <c r="U169" i="2"/>
  <c r="U157" i="2"/>
  <c r="U145" i="2"/>
  <c r="U133" i="2"/>
  <c r="R192" i="2"/>
  <c r="R180" i="2"/>
  <c r="R168" i="2"/>
  <c r="R156" i="2"/>
  <c r="R144" i="2"/>
  <c r="R132" i="2"/>
  <c r="R120" i="2"/>
  <c r="R108" i="2"/>
  <c r="R96" i="2"/>
  <c r="R84" i="2"/>
  <c r="R72" i="2"/>
  <c r="R60" i="2"/>
  <c r="R48" i="2"/>
  <c r="R36" i="2"/>
  <c r="R24" i="2"/>
  <c r="R12" i="2"/>
  <c r="U180" i="2"/>
  <c r="U168" i="2"/>
  <c r="U156" i="2"/>
  <c r="U144" i="2"/>
  <c r="U132" i="2"/>
  <c r="R191" i="2"/>
  <c r="R179" i="2"/>
  <c r="R167" i="2"/>
  <c r="R155" i="2"/>
  <c r="R143" i="2"/>
  <c r="R131" i="2"/>
  <c r="R119" i="2"/>
  <c r="R107" i="2"/>
  <c r="R95" i="2"/>
  <c r="R83" i="2"/>
  <c r="R71" i="2"/>
  <c r="R59" i="2"/>
  <c r="R47" i="2"/>
  <c r="R35" i="2"/>
  <c r="R23" i="2"/>
  <c r="R11" i="2"/>
  <c r="U59" i="2"/>
  <c r="U47" i="2"/>
  <c r="U35" i="2"/>
  <c r="U23" i="2"/>
  <c r="U11" i="2"/>
  <c r="R190" i="2"/>
  <c r="R178" i="2"/>
  <c r="R166" i="2"/>
  <c r="R154" i="2"/>
  <c r="R142" i="2"/>
  <c r="R130" i="2"/>
  <c r="R118" i="2"/>
  <c r="R106" i="2"/>
  <c r="R94" i="2"/>
  <c r="R82" i="2"/>
  <c r="R70" i="2"/>
  <c r="R58" i="2"/>
  <c r="R46" i="2"/>
  <c r="R34" i="2"/>
  <c r="R22" i="2"/>
  <c r="R10" i="2"/>
  <c r="U58" i="2"/>
  <c r="U46" i="2"/>
  <c r="U34" i="2"/>
  <c r="U22" i="2"/>
  <c r="U10" i="2"/>
  <c r="T20" i="2"/>
  <c r="R189" i="2"/>
  <c r="R177" i="2"/>
  <c r="R165" i="2"/>
  <c r="R153" i="2"/>
  <c r="R141" i="2"/>
  <c r="R129" i="2"/>
  <c r="R117" i="2"/>
  <c r="R105" i="2"/>
  <c r="R93" i="2"/>
  <c r="R81" i="2"/>
  <c r="R69" i="2"/>
  <c r="R57" i="2"/>
  <c r="R45" i="2"/>
  <c r="R33" i="2"/>
  <c r="R21" i="2"/>
  <c r="R9" i="2"/>
  <c r="U177" i="2"/>
  <c r="U57" i="2"/>
  <c r="U45" i="2"/>
  <c r="U33" i="2"/>
  <c r="U21" i="2"/>
  <c r="U9" i="2"/>
  <c r="R188" i="2"/>
  <c r="R176" i="2"/>
  <c r="R164" i="2"/>
  <c r="R152" i="2"/>
  <c r="R140" i="2"/>
  <c r="R128" i="2"/>
  <c r="R116" i="2"/>
  <c r="R104" i="2"/>
  <c r="R92" i="2"/>
  <c r="R80" i="2"/>
  <c r="R68" i="2"/>
  <c r="R56" i="2"/>
  <c r="R44" i="2"/>
  <c r="R32" i="2"/>
  <c r="R20" i="2"/>
  <c r="R8" i="2"/>
  <c r="U188" i="2"/>
  <c r="U56" i="2"/>
  <c r="U44" i="2"/>
  <c r="U32" i="2"/>
  <c r="U20" i="2"/>
  <c r="U8" i="2"/>
  <c r="T8" i="2"/>
  <c r="T188" i="2"/>
  <c r="T176" i="2"/>
  <c r="T164" i="2"/>
  <c r="T140" i="2"/>
  <c r="T128" i="2"/>
  <c r="T32" i="2"/>
  <c r="T187" i="2"/>
  <c r="T175" i="2"/>
  <c r="T163" i="2"/>
  <c r="T151" i="2"/>
  <c r="T67" i="2"/>
  <c r="T55" i="2"/>
  <c r="T43" i="2"/>
  <c r="T31" i="2"/>
  <c r="T19" i="2"/>
  <c r="T7" i="2"/>
  <c r="X43" i="7"/>
  <c r="X36" i="7"/>
  <c r="Y163" i="2"/>
  <c r="Y164" i="2"/>
  <c r="Y128" i="2"/>
  <c r="Q187" i="2"/>
  <c r="Y55" i="2"/>
  <c r="Q175" i="2"/>
  <c r="Y20" i="2"/>
  <c r="Q163" i="2"/>
  <c r="Y19" i="2"/>
  <c r="Q67" i="2"/>
  <c r="X31" i="2"/>
  <c r="Z176" i="2"/>
  <c r="Q31" i="2"/>
  <c r="X32" i="2"/>
  <c r="Z175" i="2"/>
  <c r="X67" i="2"/>
  <c r="Z140" i="2"/>
  <c r="X140" i="2"/>
  <c r="Z67" i="2"/>
  <c r="X175" i="2"/>
  <c r="Z32" i="2"/>
  <c r="X176" i="2"/>
  <c r="Z31" i="2"/>
  <c r="Q152" i="2"/>
  <c r="Q116" i="2"/>
  <c r="Q20" i="2"/>
  <c r="Q151" i="2"/>
  <c r="Q55" i="2"/>
  <c r="Q19" i="2"/>
  <c r="X7" i="2"/>
  <c r="X43" i="2"/>
  <c r="X151" i="2"/>
  <c r="X187" i="2"/>
  <c r="Y188" i="2"/>
  <c r="Y152" i="2"/>
  <c r="Y116" i="2"/>
  <c r="Y8" i="2"/>
  <c r="Z164" i="2"/>
  <c r="Z128" i="2"/>
  <c r="Z20" i="2"/>
  <c r="X8" i="2"/>
  <c r="X116" i="2"/>
  <c r="X152" i="2"/>
  <c r="X188" i="2"/>
  <c r="Y187" i="2"/>
  <c r="Y151" i="2"/>
  <c r="Y43" i="2"/>
  <c r="Y7" i="2"/>
  <c r="Z163" i="2"/>
  <c r="Z55" i="2"/>
  <c r="Z19" i="2"/>
  <c r="Q188" i="2"/>
  <c r="Q176" i="2"/>
  <c r="Q164" i="2"/>
  <c r="Q128" i="2"/>
  <c r="Q32" i="2"/>
  <c r="Q140" i="2"/>
  <c r="Q8" i="2"/>
  <c r="Q43" i="2"/>
  <c r="Q7" i="2"/>
  <c r="Z152" i="2"/>
  <c r="Z116" i="2"/>
  <c r="N116" i="2"/>
  <c r="N44" i="2"/>
  <c r="O164" i="2"/>
  <c r="O92" i="2"/>
  <c r="O20" i="2"/>
  <c r="L166" i="2"/>
  <c r="T166" i="2" s="1"/>
  <c r="O166" i="2"/>
  <c r="L46" i="2"/>
  <c r="T46" i="2" s="1"/>
  <c r="O46" i="2"/>
  <c r="N46" i="2"/>
  <c r="L189" i="2"/>
  <c r="T189" i="2" s="1"/>
  <c r="O189" i="2"/>
  <c r="L177" i="2"/>
  <c r="T177" i="2" s="1"/>
  <c r="O177" i="2"/>
  <c r="L165" i="2"/>
  <c r="T165" i="2" s="1"/>
  <c r="O165" i="2"/>
  <c r="L153" i="2"/>
  <c r="T153" i="2" s="1"/>
  <c r="O153" i="2"/>
  <c r="L141" i="2"/>
  <c r="O141" i="2"/>
  <c r="L129" i="2"/>
  <c r="T129" i="2" s="1"/>
  <c r="O129" i="2"/>
  <c r="N129" i="2"/>
  <c r="L117" i="2"/>
  <c r="T117" i="2" s="1"/>
  <c r="O117" i="2"/>
  <c r="N117" i="2"/>
  <c r="L105" i="2"/>
  <c r="T105" i="2" s="1"/>
  <c r="O105" i="2"/>
  <c r="N105" i="2"/>
  <c r="L93" i="2"/>
  <c r="T93" i="2" s="1"/>
  <c r="O93" i="2"/>
  <c r="N93" i="2"/>
  <c r="L81" i="2"/>
  <c r="T81" i="2" s="1"/>
  <c r="O81" i="2"/>
  <c r="N81" i="2"/>
  <c r="L69" i="2"/>
  <c r="T69" i="2" s="1"/>
  <c r="O69" i="2"/>
  <c r="N69" i="2"/>
  <c r="L57" i="2"/>
  <c r="T57" i="2" s="1"/>
  <c r="O57" i="2"/>
  <c r="N57" i="2"/>
  <c r="L45" i="2"/>
  <c r="T45" i="2" s="1"/>
  <c r="O45" i="2"/>
  <c r="N45" i="2"/>
  <c r="O33" i="2"/>
  <c r="N33" i="2"/>
  <c r="O21" i="2"/>
  <c r="N21" i="2"/>
  <c r="O9" i="2"/>
  <c r="N9" i="2"/>
  <c r="P123" i="2"/>
  <c r="N115" i="2"/>
  <c r="N43" i="2"/>
  <c r="O163" i="2"/>
  <c r="O91" i="2"/>
  <c r="O19" i="2"/>
  <c r="L190" i="2"/>
  <c r="O190" i="2"/>
  <c r="O118" i="2"/>
  <c r="N118" i="2"/>
  <c r="AC188" i="2"/>
  <c r="AE188" i="2" s="1"/>
  <c r="AB188" i="2"/>
  <c r="AA188" i="2"/>
  <c r="AC176" i="2"/>
  <c r="AE176" i="2" s="1"/>
  <c r="AB176" i="2"/>
  <c r="AC164" i="2"/>
  <c r="AE164" i="2" s="1"/>
  <c r="AB164" i="2"/>
  <c r="AA164" i="2"/>
  <c r="AC152" i="2"/>
  <c r="AE152" i="2" s="1"/>
  <c r="AB152" i="2"/>
  <c r="AA152" i="2"/>
  <c r="AC140" i="2"/>
  <c r="AE140" i="2" s="1"/>
  <c r="AB140" i="2"/>
  <c r="AC128" i="2"/>
  <c r="AE128" i="2" s="1"/>
  <c r="AB128" i="2"/>
  <c r="AA128" i="2"/>
  <c r="AC116" i="2"/>
  <c r="AE116" i="2" s="1"/>
  <c r="AB116" i="2"/>
  <c r="AA116" i="2"/>
  <c r="AC32" i="2"/>
  <c r="AE32" i="2" s="1"/>
  <c r="AB32" i="2"/>
  <c r="AC20" i="2"/>
  <c r="AE20" i="2" s="1"/>
  <c r="AB20" i="2"/>
  <c r="AA20" i="2"/>
  <c r="AC8" i="2"/>
  <c r="AE8" i="2" s="1"/>
  <c r="AB8" i="2"/>
  <c r="AA8" i="2"/>
  <c r="N104" i="2"/>
  <c r="N32" i="2"/>
  <c r="O152" i="2"/>
  <c r="O80" i="2"/>
  <c r="O8" i="2"/>
  <c r="AA140" i="2"/>
  <c r="AA32" i="2"/>
  <c r="AC187" i="2"/>
  <c r="AE187" i="2" s="1"/>
  <c r="AB187" i="2"/>
  <c r="AA187" i="2"/>
  <c r="AC175" i="2"/>
  <c r="AE175" i="2" s="1"/>
  <c r="AB175" i="2"/>
  <c r="AC163" i="2"/>
  <c r="AE163" i="2" s="1"/>
  <c r="AB163" i="2"/>
  <c r="AA163" i="2"/>
  <c r="AC151" i="2"/>
  <c r="AE151" i="2" s="1"/>
  <c r="AB151" i="2"/>
  <c r="AA151" i="2"/>
  <c r="AC67" i="2"/>
  <c r="AE67" i="2" s="1"/>
  <c r="AB67" i="2"/>
  <c r="AC55" i="2"/>
  <c r="AE55" i="2" s="1"/>
  <c r="AB55" i="2"/>
  <c r="AA55" i="2"/>
  <c r="AC43" i="2"/>
  <c r="AE43" i="2" s="1"/>
  <c r="AB43" i="2"/>
  <c r="AA43" i="2"/>
  <c r="AC31" i="2"/>
  <c r="AE31" i="2" s="1"/>
  <c r="AB31" i="2"/>
  <c r="AC19" i="2"/>
  <c r="AE19" i="2" s="1"/>
  <c r="AB19" i="2"/>
  <c r="AA19" i="2"/>
  <c r="AC7" i="2"/>
  <c r="AE7" i="2" s="1"/>
  <c r="AB7" i="2"/>
  <c r="AA7" i="2"/>
  <c r="P183" i="2"/>
  <c r="P111" i="2"/>
  <c r="N168" i="2"/>
  <c r="N144" i="2"/>
  <c r="N103" i="2"/>
  <c r="N31" i="2"/>
  <c r="O151" i="2"/>
  <c r="O79" i="2"/>
  <c r="O7" i="2"/>
  <c r="AA31" i="2"/>
  <c r="O22" i="2"/>
  <c r="N22" i="2"/>
  <c r="L186" i="2"/>
  <c r="O186" i="2"/>
  <c r="L174" i="2"/>
  <c r="T174" i="2" s="1"/>
  <c r="O174" i="2"/>
  <c r="L162" i="2"/>
  <c r="T162" i="2" s="1"/>
  <c r="O162" i="2"/>
  <c r="L150" i="2"/>
  <c r="T150" i="2" s="1"/>
  <c r="O150" i="2"/>
  <c r="O126" i="2"/>
  <c r="N126" i="2"/>
  <c r="O114" i="2"/>
  <c r="N114" i="2"/>
  <c r="L102" i="2"/>
  <c r="O102" i="2"/>
  <c r="N102" i="2"/>
  <c r="L90" i="2"/>
  <c r="T90" i="2" s="1"/>
  <c r="O90" i="2"/>
  <c r="N90" i="2"/>
  <c r="L78" i="2"/>
  <c r="T78" i="2" s="1"/>
  <c r="O78" i="2"/>
  <c r="N78" i="2"/>
  <c r="L66" i="2"/>
  <c r="T66" i="2" s="1"/>
  <c r="O66" i="2"/>
  <c r="N66" i="2"/>
  <c r="L54" i="2"/>
  <c r="T54" i="2" s="1"/>
  <c r="O54" i="2"/>
  <c r="N54" i="2"/>
  <c r="L42" i="2"/>
  <c r="T42" i="2" s="1"/>
  <c r="O42" i="2"/>
  <c r="N42" i="2"/>
  <c r="L30" i="2"/>
  <c r="T30" i="2" s="1"/>
  <c r="O30" i="2"/>
  <c r="N30" i="2"/>
  <c r="L18" i="2"/>
  <c r="T18" i="2" s="1"/>
  <c r="O18" i="2"/>
  <c r="N18" i="2"/>
  <c r="L6" i="2"/>
  <c r="T6" i="2" s="1"/>
  <c r="O6" i="2"/>
  <c r="N6" i="2"/>
  <c r="P182" i="2"/>
  <c r="P107" i="2"/>
  <c r="N142" i="2"/>
  <c r="N20" i="2"/>
  <c r="O140" i="2"/>
  <c r="O68" i="2"/>
  <c r="L185" i="2"/>
  <c r="T185" i="2" s="1"/>
  <c r="O185" i="2"/>
  <c r="L161" i="2"/>
  <c r="T161" i="2" s="1"/>
  <c r="O161" i="2"/>
  <c r="L137" i="2"/>
  <c r="T137" i="2" s="1"/>
  <c r="O137" i="2"/>
  <c r="N137" i="2"/>
  <c r="L113" i="2"/>
  <c r="O113" i="2"/>
  <c r="N113" i="2"/>
  <c r="L89" i="2"/>
  <c r="O89" i="2"/>
  <c r="N89" i="2"/>
  <c r="L65" i="2"/>
  <c r="T65" i="2" s="1"/>
  <c r="O65" i="2"/>
  <c r="N65" i="2"/>
  <c r="L41" i="2"/>
  <c r="T41" i="2" s="1"/>
  <c r="O41" i="2"/>
  <c r="N41" i="2"/>
  <c r="O17" i="2"/>
  <c r="N17" i="2"/>
  <c r="P171" i="2"/>
  <c r="P64" i="2"/>
  <c r="N190" i="2"/>
  <c r="N166" i="2"/>
  <c r="N141" i="2"/>
  <c r="N19" i="2"/>
  <c r="O139" i="2"/>
  <c r="O67" i="2"/>
  <c r="L184" i="2"/>
  <c r="T184" i="2" s="1"/>
  <c r="O184" i="2"/>
  <c r="L160" i="2"/>
  <c r="O160" i="2"/>
  <c r="L136" i="2"/>
  <c r="O136" i="2"/>
  <c r="N136" i="2"/>
  <c r="L112" i="2"/>
  <c r="T112" i="2" s="1"/>
  <c r="O112" i="2"/>
  <c r="N112" i="2"/>
  <c r="L88" i="2"/>
  <c r="O88" i="2"/>
  <c r="N88" i="2"/>
  <c r="L64" i="2"/>
  <c r="T64" i="2" s="1"/>
  <c r="O64" i="2"/>
  <c r="N64" i="2"/>
  <c r="L40" i="2"/>
  <c r="T40" i="2" s="1"/>
  <c r="O40" i="2"/>
  <c r="N40" i="2"/>
  <c r="O16" i="2"/>
  <c r="N16" i="2"/>
  <c r="P63" i="2"/>
  <c r="N189" i="2"/>
  <c r="N177" i="2"/>
  <c r="N165" i="2"/>
  <c r="N153" i="2"/>
  <c r="N140" i="2"/>
  <c r="N8" i="2"/>
  <c r="O128" i="2"/>
  <c r="O56" i="2"/>
  <c r="O94" i="2"/>
  <c r="N94" i="2"/>
  <c r="L183" i="2"/>
  <c r="T183" i="2" s="1"/>
  <c r="O183" i="2"/>
  <c r="L159" i="2"/>
  <c r="O159" i="2"/>
  <c r="L135" i="2"/>
  <c r="T135" i="2" s="1"/>
  <c r="O135" i="2"/>
  <c r="N135" i="2"/>
  <c r="L111" i="2"/>
  <c r="O111" i="2"/>
  <c r="N111" i="2"/>
  <c r="L87" i="2"/>
  <c r="T87" i="2" s="1"/>
  <c r="O87" i="2"/>
  <c r="N87" i="2"/>
  <c r="L63" i="2"/>
  <c r="T63" i="2" s="1"/>
  <c r="O63" i="2"/>
  <c r="N63" i="2"/>
  <c r="L39" i="2"/>
  <c r="T39" i="2" s="1"/>
  <c r="O39" i="2"/>
  <c r="N39" i="2"/>
  <c r="L15" i="2"/>
  <c r="O15" i="2"/>
  <c r="N15" i="2"/>
  <c r="P159" i="2"/>
  <c r="N188" i="2"/>
  <c r="N176" i="2"/>
  <c r="N164" i="2"/>
  <c r="N152" i="2"/>
  <c r="N7" i="2"/>
  <c r="O127" i="2"/>
  <c r="O55" i="2"/>
  <c r="L182" i="2"/>
  <c r="O182" i="2"/>
  <c r="L158" i="2"/>
  <c r="O158" i="2"/>
  <c r="O134" i="2"/>
  <c r="N134" i="2"/>
  <c r="L110" i="2"/>
  <c r="T110" i="2" s="1"/>
  <c r="O110" i="2"/>
  <c r="N110" i="2"/>
  <c r="L86" i="2"/>
  <c r="T86" i="2" s="1"/>
  <c r="O86" i="2"/>
  <c r="N86" i="2"/>
  <c r="L62" i="2"/>
  <c r="T62" i="2" s="1"/>
  <c r="O62" i="2"/>
  <c r="N62" i="2"/>
  <c r="L38" i="2"/>
  <c r="O38" i="2"/>
  <c r="N38" i="2"/>
  <c r="L14" i="2"/>
  <c r="T14" i="2" s="1"/>
  <c r="O14" i="2"/>
  <c r="N14" i="2"/>
  <c r="P158" i="2"/>
  <c r="N187" i="2"/>
  <c r="N175" i="2"/>
  <c r="N163" i="2"/>
  <c r="N151" i="2"/>
  <c r="N138" i="2"/>
  <c r="O188" i="2"/>
  <c r="O116" i="2"/>
  <c r="L193" i="2"/>
  <c r="T193" i="2" s="1"/>
  <c r="O193" i="2"/>
  <c r="L169" i="2"/>
  <c r="T169" i="2" s="1"/>
  <c r="O169" i="2"/>
  <c r="L145" i="2"/>
  <c r="T145" i="2" s="1"/>
  <c r="O145" i="2"/>
  <c r="L121" i="2"/>
  <c r="O121" i="2"/>
  <c r="N121" i="2"/>
  <c r="L97" i="2"/>
  <c r="T97" i="2" s="1"/>
  <c r="O97" i="2"/>
  <c r="N97" i="2"/>
  <c r="L73" i="2"/>
  <c r="T73" i="2" s="1"/>
  <c r="O73" i="2"/>
  <c r="N73" i="2"/>
  <c r="L49" i="2"/>
  <c r="T49" i="2" s="1"/>
  <c r="O49" i="2"/>
  <c r="N49" i="2"/>
  <c r="O25" i="2"/>
  <c r="N25" i="2"/>
  <c r="P147" i="2"/>
  <c r="N186" i="2"/>
  <c r="N174" i="2"/>
  <c r="N162" i="2"/>
  <c r="N150" i="2"/>
  <c r="N67" i="2"/>
  <c r="O187" i="2"/>
  <c r="O43" i="2"/>
  <c r="O70" i="2"/>
  <c r="N70" i="2"/>
  <c r="L192" i="2"/>
  <c r="T192" i="2" s="1"/>
  <c r="O192" i="2"/>
  <c r="L120" i="2"/>
  <c r="O120" i="2"/>
  <c r="N120" i="2"/>
  <c r="L96" i="2"/>
  <c r="T96" i="2" s="1"/>
  <c r="O96" i="2"/>
  <c r="N96" i="2"/>
  <c r="L72" i="2"/>
  <c r="O72" i="2"/>
  <c r="N72" i="2"/>
  <c r="L48" i="2"/>
  <c r="T48" i="2" s="1"/>
  <c r="O48" i="2"/>
  <c r="N48" i="2"/>
  <c r="L24" i="2"/>
  <c r="T24" i="2" s="1"/>
  <c r="O24" i="2"/>
  <c r="N24" i="2"/>
  <c r="P146" i="2"/>
  <c r="N185" i="2"/>
  <c r="N161" i="2"/>
  <c r="N128" i="2"/>
  <c r="O176" i="2"/>
  <c r="O32" i="2"/>
  <c r="AA176" i="2"/>
  <c r="L191" i="2"/>
  <c r="T191" i="2" s="1"/>
  <c r="O191" i="2"/>
  <c r="L167" i="2"/>
  <c r="T167" i="2" s="1"/>
  <c r="O167" i="2"/>
  <c r="O143" i="2"/>
  <c r="N143" i="2"/>
  <c r="L119" i="2"/>
  <c r="T119" i="2" s="1"/>
  <c r="O119" i="2"/>
  <c r="N119" i="2"/>
  <c r="O95" i="2"/>
  <c r="N95" i="2"/>
  <c r="O71" i="2"/>
  <c r="N71" i="2"/>
  <c r="O47" i="2"/>
  <c r="N47" i="2"/>
  <c r="O23" i="2"/>
  <c r="N23" i="2"/>
  <c r="P135" i="2"/>
  <c r="N184" i="2"/>
  <c r="N160" i="2"/>
  <c r="N55" i="2"/>
  <c r="O175" i="2"/>
  <c r="O31" i="2"/>
  <c r="AA175" i="2"/>
  <c r="AA67" i="2"/>
  <c r="P69" i="2"/>
  <c r="M165" i="2"/>
  <c r="P80" i="2"/>
  <c r="M164" i="2"/>
  <c r="P106" i="2"/>
  <c r="P94" i="2"/>
  <c r="P82" i="2"/>
  <c r="P70" i="2"/>
  <c r="P184" i="2"/>
  <c r="P172" i="2"/>
  <c r="P160" i="2"/>
  <c r="P148" i="2"/>
  <c r="P136" i="2"/>
  <c r="P124" i="2"/>
  <c r="P112" i="2"/>
  <c r="P71" i="2"/>
  <c r="P93" i="2"/>
  <c r="P103" i="2"/>
  <c r="P91" i="2"/>
  <c r="P67" i="2"/>
  <c r="M187" i="2"/>
  <c r="M175" i="2"/>
  <c r="M163" i="2"/>
  <c r="M151" i="2"/>
  <c r="M67" i="2"/>
  <c r="M55" i="2"/>
  <c r="M43" i="2"/>
  <c r="M31" i="2"/>
  <c r="M19" i="2"/>
  <c r="M7" i="2"/>
  <c r="P193" i="2"/>
  <c r="P181" i="2"/>
  <c r="P169" i="2"/>
  <c r="P157" i="2"/>
  <c r="P145" i="2"/>
  <c r="P133" i="2"/>
  <c r="P121" i="2"/>
  <c r="P102" i="2"/>
  <c r="P78" i="2"/>
  <c r="P66" i="2"/>
  <c r="M54" i="2"/>
  <c r="M6" i="2"/>
  <c r="P192" i="2"/>
  <c r="P180" i="2"/>
  <c r="P168" i="2"/>
  <c r="P156" i="2"/>
  <c r="P144" i="2"/>
  <c r="P132" i="2"/>
  <c r="P120" i="2"/>
  <c r="P100" i="2"/>
  <c r="M140" i="2"/>
  <c r="M8" i="2"/>
  <c r="P89" i="2"/>
  <c r="P77" i="2"/>
  <c r="P65" i="2"/>
  <c r="M41" i="2"/>
  <c r="P191" i="2"/>
  <c r="P179" i="2"/>
  <c r="P167" i="2"/>
  <c r="P155" i="2"/>
  <c r="P143" i="2"/>
  <c r="P131" i="2"/>
  <c r="P119" i="2"/>
  <c r="P99" i="2"/>
  <c r="M153" i="2"/>
  <c r="P92" i="2"/>
  <c r="M116" i="2"/>
  <c r="P190" i="2"/>
  <c r="P178" i="2"/>
  <c r="P166" i="2"/>
  <c r="P154" i="2"/>
  <c r="P142" i="2"/>
  <c r="P130" i="2"/>
  <c r="P118" i="2"/>
  <c r="P95" i="2"/>
  <c r="P104" i="2"/>
  <c r="M152" i="2"/>
  <c r="M32" i="2"/>
  <c r="P189" i="2"/>
  <c r="P165" i="2"/>
  <c r="P153" i="2"/>
  <c r="P141" i="2"/>
  <c r="P129" i="2"/>
  <c r="P117" i="2"/>
  <c r="P88" i="2"/>
  <c r="P105" i="2"/>
  <c r="M105" i="2"/>
  <c r="M176" i="2"/>
  <c r="P110" i="2"/>
  <c r="P98" i="2"/>
  <c r="P86" i="2"/>
  <c r="P74" i="2"/>
  <c r="P62" i="2"/>
  <c r="M86" i="2"/>
  <c r="P176" i="2"/>
  <c r="P164" i="2"/>
  <c r="P152" i="2"/>
  <c r="P140" i="2"/>
  <c r="P128" i="2"/>
  <c r="P116" i="2"/>
  <c r="P87" i="2"/>
  <c r="P81" i="2"/>
  <c r="M57" i="2"/>
  <c r="J109" i="2"/>
  <c r="P109" i="2"/>
  <c r="J97" i="2"/>
  <c r="P97" i="2"/>
  <c r="J85" i="2"/>
  <c r="P85" i="2"/>
  <c r="J73" i="2"/>
  <c r="P73" i="2"/>
  <c r="P61" i="2"/>
  <c r="P49" i="2"/>
  <c r="J37" i="2"/>
  <c r="P37" i="2"/>
  <c r="P25" i="2"/>
  <c r="J13" i="2"/>
  <c r="P13" i="2"/>
  <c r="M145" i="2"/>
  <c r="P187" i="2"/>
  <c r="P163" i="2"/>
  <c r="P151" i="2"/>
  <c r="P139" i="2"/>
  <c r="P127" i="2"/>
  <c r="P115" i="2"/>
  <c r="P83" i="2"/>
  <c r="M188" i="2"/>
  <c r="J108" i="2"/>
  <c r="P108" i="2"/>
  <c r="P96" i="2"/>
  <c r="J84" i="2"/>
  <c r="P84" i="2"/>
  <c r="J72" i="2"/>
  <c r="P72" i="2"/>
  <c r="J60" i="2"/>
  <c r="P60" i="2"/>
  <c r="P48" i="2"/>
  <c r="J36" i="2"/>
  <c r="P36" i="2"/>
  <c r="J24" i="2"/>
  <c r="P24" i="2"/>
  <c r="P12" i="2"/>
  <c r="P186" i="2"/>
  <c r="P174" i="2"/>
  <c r="P162" i="2"/>
  <c r="P150" i="2"/>
  <c r="P138" i="2"/>
  <c r="P126" i="2"/>
  <c r="P114" i="2"/>
  <c r="P76" i="2"/>
  <c r="P68" i="2"/>
  <c r="M128" i="2"/>
  <c r="M20" i="2"/>
  <c r="P173" i="2"/>
  <c r="P161" i="2"/>
  <c r="P149" i="2"/>
  <c r="P137" i="2"/>
  <c r="P125" i="2"/>
  <c r="P113" i="2"/>
  <c r="P75" i="2"/>
  <c r="J61" i="2"/>
  <c r="J25" i="2"/>
  <c r="H72" i="8"/>
  <c r="I72" i="8" s="1"/>
  <c r="H48" i="8"/>
  <c r="I48" i="8" s="1"/>
  <c r="H36" i="8"/>
  <c r="I36" i="8" s="1"/>
  <c r="H37" i="8"/>
  <c r="I37" i="8" s="1"/>
  <c r="H83" i="8"/>
  <c r="I83" i="8" s="1"/>
  <c r="H47" i="8"/>
  <c r="I47" i="8" s="1"/>
  <c r="H23" i="8"/>
  <c r="I23" i="8" s="1"/>
  <c r="H58" i="8"/>
  <c r="I58" i="8" s="1"/>
  <c r="H22" i="8"/>
  <c r="I22" i="8" s="1"/>
  <c r="H57" i="8"/>
  <c r="I57" i="8" s="1"/>
  <c r="H9" i="8"/>
  <c r="I9" i="8" s="1"/>
  <c r="H44" i="8"/>
  <c r="I44" i="8" s="1"/>
  <c r="H79" i="8"/>
  <c r="I79" i="8" s="1"/>
  <c r="H30" i="8"/>
  <c r="I30" i="8" s="1"/>
  <c r="H18" i="8"/>
  <c r="I18" i="8" s="1"/>
  <c r="H6" i="8"/>
  <c r="I6" i="8" s="1"/>
  <c r="H77" i="8"/>
  <c r="I77" i="8" s="1"/>
  <c r="H65" i="8"/>
  <c r="I65" i="8" s="1"/>
  <c r="H53" i="8"/>
  <c r="I53" i="8" s="1"/>
  <c r="H41" i="8"/>
  <c r="I41" i="8" s="1"/>
  <c r="H29" i="8"/>
  <c r="I29" i="8" s="1"/>
  <c r="H17" i="8"/>
  <c r="I17" i="8" s="1"/>
  <c r="H5" i="8"/>
  <c r="I5" i="8" s="1"/>
  <c r="H64" i="8"/>
  <c r="I64" i="8" s="1"/>
  <c r="H52" i="8"/>
  <c r="I52" i="8" s="1"/>
  <c r="H40" i="8"/>
  <c r="I40" i="8" s="1"/>
  <c r="H16" i="8"/>
  <c r="I16" i="8" s="1"/>
  <c r="H4" i="8"/>
  <c r="I4" i="8" s="1"/>
  <c r="H51" i="8"/>
  <c r="I51" i="8" s="1"/>
  <c r="H2" i="8"/>
  <c r="I2" i="8" s="1"/>
  <c r="X44" i="7"/>
  <c r="U38" i="7"/>
  <c r="X38" i="7" s="1"/>
  <c r="J134" i="2"/>
  <c r="J185" i="2"/>
  <c r="J101" i="2"/>
  <c r="J170" i="2"/>
  <c r="J122" i="2"/>
  <c r="J12" i="2"/>
  <c r="J98" i="2"/>
  <c r="J14" i="2"/>
  <c r="L134" i="2"/>
  <c r="T134" i="2" s="1"/>
  <c r="J155" i="2"/>
  <c r="J83" i="2"/>
  <c r="J11" i="2"/>
  <c r="J38" i="2"/>
  <c r="K2" i="2"/>
  <c r="J46" i="2"/>
  <c r="J177" i="2"/>
  <c r="J188" i="2"/>
  <c r="J57" i="2"/>
  <c r="J175" i="2"/>
  <c r="J79" i="2"/>
  <c r="J90" i="2"/>
  <c r="L70" i="2"/>
  <c r="T70" i="2" s="1"/>
  <c r="L23" i="2"/>
  <c r="T23" i="2" s="1"/>
  <c r="L143" i="2"/>
  <c r="T143" i="2" s="1"/>
  <c r="X39" i="7"/>
  <c r="X45" i="7"/>
  <c r="U40" i="7"/>
  <c r="X40" i="7" s="1"/>
  <c r="L17" i="2"/>
  <c r="T17" i="2" s="1"/>
  <c r="L22" i="2"/>
  <c r="T22" i="2" s="1"/>
  <c r="L16" i="2"/>
  <c r="T16" i="2" s="1"/>
  <c r="I181" i="2"/>
  <c r="L33" i="2"/>
  <c r="T33" i="2" s="1"/>
  <c r="L21" i="2"/>
  <c r="T21" i="2" s="1"/>
  <c r="L9" i="2"/>
  <c r="T9" i="2" s="1"/>
  <c r="I169" i="2"/>
  <c r="I157" i="2"/>
  <c r="I133" i="2"/>
  <c r="L104" i="2"/>
  <c r="T104" i="2" s="1"/>
  <c r="L92" i="2"/>
  <c r="T92" i="2" s="1"/>
  <c r="L80" i="2"/>
  <c r="T80" i="2" s="1"/>
  <c r="L68" i="2"/>
  <c r="T68" i="2" s="1"/>
  <c r="L56" i="2"/>
  <c r="T56" i="2" s="1"/>
  <c r="L44" i="2"/>
  <c r="T44" i="2" s="1"/>
  <c r="L139" i="2"/>
  <c r="T139" i="2" s="1"/>
  <c r="L127" i="2"/>
  <c r="T127" i="2" s="1"/>
  <c r="L115" i="2"/>
  <c r="T115" i="2" s="1"/>
  <c r="K87" i="2"/>
  <c r="L142" i="2"/>
  <c r="T142" i="2" s="1"/>
  <c r="L118" i="2"/>
  <c r="T118" i="2" s="1"/>
  <c r="L94" i="2"/>
  <c r="T94" i="2" s="1"/>
  <c r="K135" i="2"/>
  <c r="K15" i="2"/>
  <c r="I145" i="2"/>
  <c r="L103" i="2"/>
  <c r="T103" i="2" s="1"/>
  <c r="L91" i="2"/>
  <c r="T91" i="2" s="1"/>
  <c r="L79" i="2"/>
  <c r="T79" i="2" s="1"/>
  <c r="I121" i="2"/>
  <c r="I109" i="2"/>
  <c r="I97" i="2"/>
  <c r="I85" i="2"/>
  <c r="K171" i="2"/>
  <c r="K3" i="2"/>
  <c r="L138" i="2"/>
  <c r="T138" i="2" s="1"/>
  <c r="L126" i="2"/>
  <c r="T126" i="2" s="1"/>
  <c r="L114" i="2"/>
  <c r="T114" i="2" s="1"/>
  <c r="I73" i="2"/>
  <c r="I37" i="2"/>
  <c r="I25" i="2"/>
  <c r="I13" i="2"/>
  <c r="K75" i="2"/>
  <c r="L75" i="2"/>
  <c r="T75" i="2" s="1"/>
  <c r="L51" i="2"/>
  <c r="L27" i="2"/>
  <c r="L3" i="2"/>
  <c r="K123" i="2"/>
  <c r="L74" i="2"/>
  <c r="T74" i="2" s="1"/>
  <c r="L50" i="2"/>
  <c r="L26" i="2"/>
  <c r="L2" i="2"/>
  <c r="I69" i="2"/>
  <c r="I57" i="2"/>
  <c r="I45" i="2"/>
  <c r="I33" i="2"/>
  <c r="I21" i="2"/>
  <c r="I9" i="2"/>
  <c r="K27" i="2"/>
  <c r="L25" i="2"/>
  <c r="T25" i="2" s="1"/>
  <c r="K147" i="2"/>
  <c r="L168" i="2"/>
  <c r="T168" i="2" s="1"/>
  <c r="L144" i="2"/>
  <c r="T144" i="2" s="1"/>
  <c r="I184" i="2"/>
  <c r="I173" i="2"/>
  <c r="I161" i="2"/>
  <c r="I149" i="2"/>
  <c r="K183" i="2"/>
  <c r="K99" i="2"/>
  <c r="L95" i="2"/>
  <c r="T95" i="2" s="1"/>
  <c r="L71" i="2"/>
  <c r="T71" i="2" s="1"/>
  <c r="L47" i="2"/>
  <c r="T47" i="2" s="1"/>
  <c r="K159" i="2"/>
  <c r="K63" i="2"/>
  <c r="K51" i="2"/>
  <c r="K39" i="2"/>
  <c r="I185" i="2"/>
  <c r="I128" i="2"/>
  <c r="I117" i="2"/>
  <c r="I105" i="2"/>
  <c r="I93" i="2"/>
  <c r="I81" i="2"/>
  <c r="I116" i="2"/>
  <c r="I104" i="2"/>
  <c r="I92" i="2"/>
  <c r="I80" i="2"/>
  <c r="K193" i="2"/>
  <c r="K121" i="2"/>
  <c r="K61" i="2"/>
  <c r="K49" i="2"/>
  <c r="I172" i="2"/>
  <c r="I160" i="2"/>
  <c r="I148" i="2"/>
  <c r="I137" i="2"/>
  <c r="I68" i="2"/>
  <c r="I56" i="2"/>
  <c r="I44" i="2"/>
  <c r="I32" i="2"/>
  <c r="I20" i="2"/>
  <c r="I8" i="2"/>
  <c r="I136" i="2"/>
  <c r="I125" i="2"/>
  <c r="K179" i="2"/>
  <c r="K167" i="2"/>
  <c r="I193" i="2"/>
  <c r="I124" i="2"/>
  <c r="I113" i="2"/>
  <c r="I101" i="2"/>
  <c r="I89" i="2"/>
  <c r="K191" i="2"/>
  <c r="I192" i="2"/>
  <c r="I180" i="2"/>
  <c r="I112" i="2"/>
  <c r="I100" i="2"/>
  <c r="I88" i="2"/>
  <c r="I77" i="2"/>
  <c r="L77" i="2" s="1"/>
  <c r="T77" i="2" s="1"/>
  <c r="I65" i="2"/>
  <c r="I53" i="2"/>
  <c r="L53" i="2" s="1"/>
  <c r="I41" i="2"/>
  <c r="I29" i="2"/>
  <c r="L29" i="2" s="1"/>
  <c r="I17" i="2"/>
  <c r="I5" i="2"/>
  <c r="L5" i="2" s="1"/>
  <c r="I168" i="2"/>
  <c r="I156" i="2"/>
  <c r="I144" i="2"/>
  <c r="I76" i="2"/>
  <c r="I64" i="2"/>
  <c r="I52" i="2"/>
  <c r="I40" i="2"/>
  <c r="I28" i="2"/>
  <c r="I16" i="2"/>
  <c r="I4" i="2"/>
  <c r="I189" i="2"/>
  <c r="I177" i="2"/>
  <c r="I132" i="2"/>
  <c r="K109" i="2"/>
  <c r="I188" i="2"/>
  <c r="I176" i="2"/>
  <c r="I165" i="2"/>
  <c r="I153" i="2"/>
  <c r="I141" i="2"/>
  <c r="I120" i="2"/>
  <c r="I108" i="2"/>
  <c r="I96" i="2"/>
  <c r="I84" i="2"/>
  <c r="I61" i="2"/>
  <c r="I49" i="2"/>
  <c r="I164" i="2"/>
  <c r="I152" i="2"/>
  <c r="I140" i="2"/>
  <c r="I72" i="2"/>
  <c r="I60" i="2"/>
  <c r="I48" i="2"/>
  <c r="I36" i="2"/>
  <c r="I24" i="2"/>
  <c r="I12" i="2"/>
  <c r="I129" i="2"/>
  <c r="K182" i="2"/>
  <c r="K158" i="2"/>
  <c r="K146" i="2"/>
  <c r="K110" i="2"/>
  <c r="K86" i="2"/>
  <c r="K74" i="2"/>
  <c r="K62" i="2"/>
  <c r="K50" i="2"/>
  <c r="K38" i="2"/>
  <c r="K26" i="2"/>
  <c r="K14" i="2"/>
  <c r="K97" i="2"/>
  <c r="K85" i="2"/>
  <c r="K111" i="2"/>
  <c r="K73" i="2"/>
  <c r="K192" i="2"/>
  <c r="K120" i="2"/>
  <c r="K96" i="2"/>
  <c r="K48" i="2"/>
  <c r="K143" i="2"/>
  <c r="K131" i="2"/>
  <c r="K119" i="2"/>
  <c r="K107" i="2"/>
  <c r="K95" i="2"/>
  <c r="K71" i="2"/>
  <c r="K59" i="2"/>
  <c r="K47" i="2"/>
  <c r="K35" i="2"/>
  <c r="K23" i="2"/>
  <c r="K190" i="2"/>
  <c r="K178" i="2"/>
  <c r="K166" i="2"/>
  <c r="K154" i="2"/>
  <c r="K142" i="2"/>
  <c r="K130" i="2"/>
  <c r="K118" i="2"/>
  <c r="K106" i="2"/>
  <c r="K94" i="2"/>
  <c r="K82" i="2"/>
  <c r="K70" i="2"/>
  <c r="K58" i="2"/>
  <c r="K34" i="2"/>
  <c r="K22" i="2"/>
  <c r="K10" i="2"/>
  <c r="K37" i="2"/>
  <c r="K153" i="2"/>
  <c r="K141" i="2"/>
  <c r="K129" i="2"/>
  <c r="K117" i="2"/>
  <c r="K105" i="2"/>
  <c r="K93" i="2"/>
  <c r="K81" i="2"/>
  <c r="K69" i="2"/>
  <c r="K57" i="2"/>
  <c r="K45" i="2"/>
  <c r="K33" i="2"/>
  <c r="K21" i="2"/>
  <c r="K9" i="2"/>
  <c r="K181" i="2"/>
  <c r="AG181" i="2" s="1"/>
  <c r="K25" i="2"/>
  <c r="K13" i="2"/>
  <c r="K189" i="2"/>
  <c r="K165" i="2"/>
  <c r="K176" i="2"/>
  <c r="K164" i="2"/>
  <c r="K152" i="2"/>
  <c r="K140" i="2"/>
  <c r="K128" i="2"/>
  <c r="K116" i="2"/>
  <c r="K104" i="2"/>
  <c r="K92" i="2"/>
  <c r="K80" i="2"/>
  <c r="K68" i="2"/>
  <c r="K56" i="2"/>
  <c r="K44" i="2"/>
  <c r="K32" i="2"/>
  <c r="K20" i="2"/>
  <c r="K8" i="2"/>
  <c r="K169" i="2"/>
  <c r="AG169" i="2" s="1"/>
  <c r="K157" i="2"/>
  <c r="AG157" i="2" s="1"/>
  <c r="K187" i="2"/>
  <c r="K175" i="2"/>
  <c r="K163" i="2"/>
  <c r="K151" i="2"/>
  <c r="K139" i="2"/>
  <c r="K127" i="2"/>
  <c r="K115" i="2"/>
  <c r="K103" i="2"/>
  <c r="K91" i="2"/>
  <c r="K67" i="2"/>
  <c r="K55" i="2"/>
  <c r="K43" i="2"/>
  <c r="K31" i="2"/>
  <c r="K145" i="2"/>
  <c r="AG145" i="2" s="1"/>
  <c r="K133" i="2"/>
  <c r="AG133" i="2" s="1"/>
  <c r="K186" i="2"/>
  <c r="K162" i="2"/>
  <c r="K150" i="2"/>
  <c r="K138" i="2"/>
  <c r="K126" i="2"/>
  <c r="K114" i="2"/>
  <c r="K102" i="2"/>
  <c r="K90" i="2"/>
  <c r="K78" i="2"/>
  <c r="K66" i="2"/>
  <c r="K54" i="2"/>
  <c r="K42" i="2"/>
  <c r="K30" i="2"/>
  <c r="K18" i="2"/>
  <c r="K6" i="2"/>
  <c r="J111" i="2"/>
  <c r="K185" i="2"/>
  <c r="K173" i="2"/>
  <c r="K161" i="2"/>
  <c r="K149" i="2"/>
  <c r="K137" i="2"/>
  <c r="K125" i="2"/>
  <c r="K113" i="2"/>
  <c r="K101" i="2"/>
  <c r="K89" i="2"/>
  <c r="K77" i="2"/>
  <c r="K65" i="2"/>
  <c r="K53" i="2"/>
  <c r="K41" i="2"/>
  <c r="K29" i="2"/>
  <c r="K17" i="2"/>
  <c r="K5" i="2"/>
  <c r="K184" i="2"/>
  <c r="K172" i="2"/>
  <c r="K160" i="2"/>
  <c r="K148" i="2"/>
  <c r="K136" i="2"/>
  <c r="K124" i="2"/>
  <c r="K112" i="2"/>
  <c r="K100" i="2"/>
  <c r="K88" i="2"/>
  <c r="K76" i="2"/>
  <c r="K64" i="2"/>
  <c r="K52" i="2"/>
  <c r="K40" i="2"/>
  <c r="K28" i="2"/>
  <c r="K16" i="2"/>
  <c r="K4" i="2"/>
  <c r="K19" i="2"/>
  <c r="K7" i="2"/>
  <c r="K174" i="2"/>
  <c r="K12" i="2"/>
  <c r="K155" i="2"/>
  <c r="K83" i="2"/>
  <c r="K11" i="2"/>
  <c r="K24" i="2"/>
  <c r="J96" i="2"/>
  <c r="K46" i="2"/>
  <c r="K168" i="2"/>
  <c r="AG168" i="2" s="1"/>
  <c r="K132" i="2"/>
  <c r="AG132" i="2" s="1"/>
  <c r="K36" i="2"/>
  <c r="K177" i="2"/>
  <c r="K188" i="2"/>
  <c r="K79" i="2"/>
  <c r="K108" i="2"/>
  <c r="K84" i="2"/>
  <c r="K180" i="2"/>
  <c r="AG180" i="2" s="1"/>
  <c r="K156" i="2"/>
  <c r="AG156" i="2" s="1"/>
  <c r="K144" i="2"/>
  <c r="AG144" i="2" s="1"/>
  <c r="K72" i="2"/>
  <c r="K60" i="2"/>
  <c r="K170" i="2"/>
  <c r="K134" i="2"/>
  <c r="K122" i="2"/>
  <c r="K98" i="2"/>
  <c r="J167" i="2"/>
  <c r="J35" i="2"/>
  <c r="J68" i="2"/>
  <c r="J146" i="2"/>
  <c r="J32" i="2"/>
  <c r="J164" i="2"/>
  <c r="J74" i="2"/>
  <c r="J140" i="2"/>
  <c r="J104" i="2"/>
  <c r="J70" i="8"/>
  <c r="J34" i="8"/>
  <c r="J58" i="8"/>
  <c r="J10" i="8"/>
  <c r="J46" i="8"/>
  <c r="J54" i="8"/>
  <c r="J28" i="8"/>
  <c r="J66" i="8"/>
  <c r="J12" i="8"/>
  <c r="J24" i="8"/>
  <c r="J60" i="8"/>
  <c r="J42" i="8"/>
  <c r="J76" i="8"/>
  <c r="J14" i="8"/>
  <c r="J26" i="8"/>
  <c r="J2" i="8"/>
  <c r="J74" i="8"/>
  <c r="J84" i="8"/>
  <c r="J72" i="8"/>
  <c r="J49" i="8"/>
  <c r="J37" i="8"/>
  <c r="J25" i="8"/>
  <c r="J13" i="8"/>
  <c r="J85" i="8"/>
  <c r="J35" i="8"/>
  <c r="J23" i="8"/>
  <c r="J11" i="8"/>
  <c r="J81" i="8"/>
  <c r="J69" i="8"/>
  <c r="J45" i="8"/>
  <c r="J33" i="8"/>
  <c r="J21" i="8"/>
  <c r="J9" i="8"/>
  <c r="J79" i="8"/>
  <c r="J20" i="8"/>
  <c r="J78" i="8"/>
  <c r="J67" i="8"/>
  <c r="J55" i="8"/>
  <c r="J43" i="8"/>
  <c r="J31" i="8"/>
  <c r="J19" i="8"/>
  <c r="J7" i="8"/>
  <c r="J56" i="8"/>
  <c r="J75" i="8"/>
  <c r="J65" i="8"/>
  <c r="J73" i="8"/>
  <c r="J63" i="8"/>
  <c r="J51" i="8"/>
  <c r="J39" i="8"/>
  <c r="J62" i="8"/>
  <c r="J50" i="8"/>
  <c r="J38" i="8"/>
  <c r="J27" i="8"/>
  <c r="J15" i="8"/>
  <c r="J82" i="8"/>
  <c r="J71" i="8"/>
  <c r="J3" i="8"/>
  <c r="J59" i="8"/>
  <c r="J61" i="8"/>
  <c r="J44" i="8"/>
  <c r="J32" i="8"/>
  <c r="J8" i="8"/>
  <c r="J80" i="8"/>
  <c r="J68" i="8"/>
  <c r="J187" i="2"/>
  <c r="J176" i="2"/>
  <c r="J100" i="2"/>
  <c r="J89" i="2"/>
  <c r="J78" i="2"/>
  <c r="J56" i="2"/>
  <c r="J45" i="2"/>
  <c r="J34" i="2"/>
  <c r="J166" i="2"/>
  <c r="J110" i="2"/>
  <c r="J186" i="2"/>
  <c r="J165" i="2"/>
  <c r="J154" i="2"/>
  <c r="J143" i="2"/>
  <c r="J121" i="2"/>
  <c r="J99" i="2"/>
  <c r="J88" i="2"/>
  <c r="J77" i="2"/>
  <c r="J67" i="2"/>
  <c r="J55" i="2"/>
  <c r="J44" i="2"/>
  <c r="J33" i="2"/>
  <c r="J23" i="2"/>
  <c r="J142" i="2"/>
  <c r="J131" i="2"/>
  <c r="J120" i="2"/>
  <c r="J87" i="2"/>
  <c r="J76" i="2"/>
  <c r="J66" i="2"/>
  <c r="J54" i="2"/>
  <c r="J43" i="2"/>
  <c r="J22" i="2"/>
  <c r="J130" i="2"/>
  <c r="J119" i="2"/>
  <c r="J86" i="2"/>
  <c r="J75" i="2"/>
  <c r="J65" i="2"/>
  <c r="J53" i="2"/>
  <c r="J42" i="2"/>
  <c r="J21" i="2"/>
  <c r="J10" i="2"/>
  <c r="J153" i="2"/>
  <c r="J183" i="2"/>
  <c r="J162" i="2"/>
  <c r="J151" i="2"/>
  <c r="J129" i="2"/>
  <c r="J118" i="2"/>
  <c r="J107" i="2"/>
  <c r="J64" i="2"/>
  <c r="J52" i="2"/>
  <c r="J41" i="2"/>
  <c r="J31" i="2"/>
  <c r="J20" i="2"/>
  <c r="J9" i="2"/>
  <c r="J163" i="2"/>
  <c r="J63" i="2"/>
  <c r="J51" i="2"/>
  <c r="J40" i="2"/>
  <c r="J30" i="2"/>
  <c r="J19" i="2"/>
  <c r="J8" i="2"/>
  <c r="J141" i="2"/>
  <c r="J150" i="2"/>
  <c r="J116" i="2"/>
  <c r="J95" i="2"/>
  <c r="J62" i="2"/>
  <c r="J50" i="2"/>
  <c r="J39" i="2"/>
  <c r="J29" i="2"/>
  <c r="J18" i="2"/>
  <c r="J7" i="2"/>
  <c r="J184" i="2"/>
  <c r="J172" i="2"/>
  <c r="J117" i="2"/>
  <c r="J160" i="2"/>
  <c r="J127" i="2"/>
  <c r="J105" i="2"/>
  <c r="J192" i="2"/>
  <c r="J159" i="2"/>
  <c r="J148" i="2"/>
  <c r="J138" i="2"/>
  <c r="J126" i="2"/>
  <c r="J115" i="2"/>
  <c r="J94" i="2"/>
  <c r="J28" i="2"/>
  <c r="J17" i="2"/>
  <c r="J6" i="2"/>
  <c r="J152" i="2"/>
  <c r="J161" i="2"/>
  <c r="J193" i="2"/>
  <c r="J139" i="2"/>
  <c r="J147" i="2"/>
  <c r="J137" i="2"/>
  <c r="J125" i="2"/>
  <c r="J114" i="2"/>
  <c r="J93" i="2"/>
  <c r="J82" i="2"/>
  <c r="J71" i="2"/>
  <c r="J49" i="2"/>
  <c r="J27" i="2"/>
  <c r="J16" i="2"/>
  <c r="J5" i="2"/>
  <c r="J173" i="2"/>
  <c r="J182" i="2"/>
  <c r="J128" i="2"/>
  <c r="J171" i="2"/>
  <c r="J158" i="2"/>
  <c r="J190" i="2"/>
  <c r="J179" i="2"/>
  <c r="J136" i="2"/>
  <c r="J124" i="2"/>
  <c r="J113" i="2"/>
  <c r="J103" i="2"/>
  <c r="J92" i="2"/>
  <c r="J81" i="2"/>
  <c r="J70" i="2"/>
  <c r="J59" i="2"/>
  <c r="J48" i="2"/>
  <c r="J26" i="2"/>
  <c r="J15" i="2"/>
  <c r="J4" i="2"/>
  <c r="J174" i="2"/>
  <c r="J2" i="2"/>
  <c r="J106" i="2"/>
  <c r="J149" i="2"/>
  <c r="J191" i="2"/>
  <c r="J189" i="2"/>
  <c r="J178" i="2"/>
  <c r="J135" i="2"/>
  <c r="J123" i="2"/>
  <c r="J112" i="2"/>
  <c r="J102" i="2"/>
  <c r="J91" i="2"/>
  <c r="J80" i="2"/>
  <c r="J69" i="2"/>
  <c r="J58" i="2"/>
  <c r="J47" i="2"/>
  <c r="J3" i="2"/>
  <c r="M48" i="2" l="1"/>
  <c r="AG16" i="2"/>
  <c r="M174" i="2"/>
  <c r="M159" i="2"/>
  <c r="T159" i="2"/>
  <c r="M88" i="2"/>
  <c r="T88" i="2"/>
  <c r="M102" i="2"/>
  <c r="T102" i="2"/>
  <c r="M186" i="2"/>
  <c r="T186" i="2"/>
  <c r="M38" i="2"/>
  <c r="T38" i="2"/>
  <c r="M89" i="2"/>
  <c r="T89" i="2"/>
  <c r="M190" i="2"/>
  <c r="T190" i="2"/>
  <c r="M158" i="2"/>
  <c r="T158" i="2"/>
  <c r="M136" i="2"/>
  <c r="T136" i="2"/>
  <c r="M120" i="2"/>
  <c r="T120" i="2"/>
  <c r="M15" i="2"/>
  <c r="T15" i="2"/>
  <c r="M111" i="2"/>
  <c r="T111" i="2"/>
  <c r="M141" i="2"/>
  <c r="T141" i="2"/>
  <c r="M182" i="2"/>
  <c r="T182" i="2"/>
  <c r="M160" i="2"/>
  <c r="T160" i="2"/>
  <c r="M113" i="2"/>
  <c r="T113" i="2"/>
  <c r="M121" i="2"/>
  <c r="T121" i="2"/>
  <c r="M72" i="2"/>
  <c r="T72" i="2"/>
  <c r="L13" i="2"/>
  <c r="L76" i="2"/>
  <c r="T76" i="2" s="1"/>
  <c r="L130" i="2"/>
  <c r="M130" i="2" s="1"/>
  <c r="L83" i="2"/>
  <c r="T83" i="2" s="1"/>
  <c r="AG8" i="2"/>
  <c r="Y161" i="2"/>
  <c r="X161" i="2"/>
  <c r="Q161" i="2"/>
  <c r="Z161" i="2"/>
  <c r="Y177" i="2"/>
  <c r="X177" i="2"/>
  <c r="Z177" i="2"/>
  <c r="Q177" i="2"/>
  <c r="Q74" i="2"/>
  <c r="X74" i="2" s="1"/>
  <c r="Y74" i="2" s="1"/>
  <c r="Z74" i="2"/>
  <c r="Y14" i="2"/>
  <c r="Q14" i="2"/>
  <c r="Z14" i="2"/>
  <c r="X14" i="2"/>
  <c r="M117" i="2"/>
  <c r="Q117" i="2"/>
  <c r="Z117" i="2"/>
  <c r="X117" i="2"/>
  <c r="Y117" i="2"/>
  <c r="Y47" i="2"/>
  <c r="Z47" i="2"/>
  <c r="Q47" i="2"/>
  <c r="X47" i="2"/>
  <c r="Z25" i="2"/>
  <c r="Q25" i="2"/>
  <c r="X25" i="2"/>
  <c r="Y25" i="2"/>
  <c r="Y138" i="2"/>
  <c r="Q138" i="2"/>
  <c r="Z138" i="2"/>
  <c r="X138" i="2"/>
  <c r="X92" i="2"/>
  <c r="Q92" i="2"/>
  <c r="Z92" i="2"/>
  <c r="Y92" i="2"/>
  <c r="M119" i="2"/>
  <c r="Y119" i="2"/>
  <c r="Q119" i="2"/>
  <c r="Z119" i="2"/>
  <c r="X119" i="2"/>
  <c r="M73" i="2"/>
  <c r="X73" i="2"/>
  <c r="Q73" i="2"/>
  <c r="Y73" i="2"/>
  <c r="Z73" i="2"/>
  <c r="Q193" i="2"/>
  <c r="Y193" i="2"/>
  <c r="X193" i="2"/>
  <c r="Z193" i="2"/>
  <c r="M112" i="2"/>
  <c r="X112" i="2"/>
  <c r="Q112" i="2"/>
  <c r="Z112" i="2"/>
  <c r="Y112" i="2"/>
  <c r="X185" i="2"/>
  <c r="Q185" i="2"/>
  <c r="Y185" i="2"/>
  <c r="Z185" i="2"/>
  <c r="X18" i="2"/>
  <c r="Y18" i="2"/>
  <c r="Z18" i="2"/>
  <c r="Q18" i="2"/>
  <c r="Y66" i="2"/>
  <c r="Z66" i="2"/>
  <c r="X66" i="2"/>
  <c r="Q66" i="2"/>
  <c r="M189" i="2"/>
  <c r="Z189" i="2"/>
  <c r="X189" i="2"/>
  <c r="Q189" i="2"/>
  <c r="Y189" i="2"/>
  <c r="Z22" i="2"/>
  <c r="Q22" i="2"/>
  <c r="Y22" i="2"/>
  <c r="X22" i="2"/>
  <c r="X71" i="2"/>
  <c r="Z71" i="2"/>
  <c r="Q71" i="2"/>
  <c r="Y71" i="2"/>
  <c r="Z94" i="2"/>
  <c r="Y94" i="2"/>
  <c r="Q94" i="2"/>
  <c r="X94" i="2"/>
  <c r="Y104" i="2"/>
  <c r="Q104" i="2"/>
  <c r="X104" i="2"/>
  <c r="Z104" i="2"/>
  <c r="M96" i="2"/>
  <c r="Z96" i="2"/>
  <c r="X96" i="2"/>
  <c r="Y96" i="2"/>
  <c r="Q96" i="2"/>
  <c r="M87" i="2"/>
  <c r="Z87" i="2"/>
  <c r="Y87" i="2"/>
  <c r="Q87" i="2"/>
  <c r="X87" i="2"/>
  <c r="X144" i="2"/>
  <c r="Q144" i="2"/>
  <c r="Z144" i="2"/>
  <c r="Y144" i="2"/>
  <c r="Z95" i="2"/>
  <c r="Y95" i="2"/>
  <c r="X95" i="2"/>
  <c r="Q95" i="2"/>
  <c r="Y118" i="2"/>
  <c r="Q118" i="2"/>
  <c r="Z118" i="2"/>
  <c r="X118" i="2"/>
  <c r="Z83" i="2"/>
  <c r="Q83" i="2"/>
  <c r="X83" i="2" s="1"/>
  <c r="Y83" i="2" s="1"/>
  <c r="M161" i="2"/>
  <c r="X38" i="2"/>
  <c r="Y38" i="2"/>
  <c r="Z38" i="2"/>
  <c r="Q38" i="2"/>
  <c r="Y89" i="2"/>
  <c r="X89" i="2"/>
  <c r="Q89" i="2"/>
  <c r="Z89" i="2"/>
  <c r="Y190" i="2"/>
  <c r="Z190" i="2"/>
  <c r="X190" i="2"/>
  <c r="Q190" i="2"/>
  <c r="M81" i="2"/>
  <c r="Z81" i="2"/>
  <c r="X81" i="2"/>
  <c r="Q81" i="2"/>
  <c r="Y81" i="2"/>
  <c r="M129" i="2"/>
  <c r="X129" i="2"/>
  <c r="Y129" i="2"/>
  <c r="Q129" i="2"/>
  <c r="Z129" i="2"/>
  <c r="Y16" i="2"/>
  <c r="Z16" i="2"/>
  <c r="Q16" i="2"/>
  <c r="X16" i="2"/>
  <c r="Z114" i="2"/>
  <c r="Y114" i="2"/>
  <c r="Q114" i="2"/>
  <c r="X114" i="2"/>
  <c r="Q126" i="2"/>
  <c r="X126" i="2"/>
  <c r="Y126" i="2"/>
  <c r="Z126" i="2"/>
  <c r="M65" i="2"/>
  <c r="Z65" i="2"/>
  <c r="Q65" i="2"/>
  <c r="X65" i="2"/>
  <c r="Y65" i="2"/>
  <c r="Q142" i="2"/>
  <c r="X142" i="2"/>
  <c r="Y142" i="2"/>
  <c r="Z142" i="2"/>
  <c r="X143" i="2"/>
  <c r="Z143" i="2"/>
  <c r="Y143" i="2"/>
  <c r="Q143" i="2"/>
  <c r="M185" i="2"/>
  <c r="M97" i="2"/>
  <c r="Q97" i="2"/>
  <c r="Z97" i="2"/>
  <c r="X97" i="2"/>
  <c r="Y97" i="2"/>
  <c r="Y158" i="2"/>
  <c r="Q158" i="2"/>
  <c r="Z158" i="2"/>
  <c r="X158" i="2"/>
  <c r="X40" i="2"/>
  <c r="Z40" i="2"/>
  <c r="Q40" i="2"/>
  <c r="Y40" i="2"/>
  <c r="Z136" i="2"/>
  <c r="X136" i="2"/>
  <c r="Y136" i="2"/>
  <c r="Q136" i="2"/>
  <c r="Y30" i="2"/>
  <c r="Q30" i="2"/>
  <c r="Z30" i="2"/>
  <c r="X30" i="2"/>
  <c r="Z78" i="2"/>
  <c r="Q78" i="2"/>
  <c r="Y78" i="2"/>
  <c r="X78" i="2"/>
  <c r="M150" i="2"/>
  <c r="Z150" i="2"/>
  <c r="Y150" i="2"/>
  <c r="Q150" i="2"/>
  <c r="X150" i="2"/>
  <c r="Y46" i="2"/>
  <c r="Z46" i="2"/>
  <c r="X46" i="2"/>
  <c r="Q46" i="2"/>
  <c r="Y103" i="2"/>
  <c r="Z103" i="2"/>
  <c r="Q103" i="2"/>
  <c r="X103" i="2"/>
  <c r="Z63" i="2"/>
  <c r="Q63" i="2"/>
  <c r="Y63" i="2"/>
  <c r="X63" i="2"/>
  <c r="Y17" i="2"/>
  <c r="X17" i="2"/>
  <c r="Z17" i="2"/>
  <c r="Q17" i="2"/>
  <c r="X110" i="2"/>
  <c r="Y110" i="2"/>
  <c r="Q110" i="2"/>
  <c r="Z110" i="2"/>
  <c r="X183" i="2"/>
  <c r="Q183" i="2"/>
  <c r="Z183" i="2"/>
  <c r="Y183" i="2"/>
  <c r="M69" i="2"/>
  <c r="Y69" i="2"/>
  <c r="X69" i="2"/>
  <c r="Z69" i="2"/>
  <c r="Q69" i="2"/>
  <c r="Q77" i="2"/>
  <c r="X77" i="2" s="1"/>
  <c r="Y77" i="2" s="1"/>
  <c r="Z77" i="2"/>
  <c r="Q75" i="2"/>
  <c r="X75" i="2" s="1"/>
  <c r="Y75" i="2" s="1"/>
  <c r="Z75" i="2"/>
  <c r="Z23" i="2"/>
  <c r="Q23" i="2"/>
  <c r="Y23" i="2"/>
  <c r="X23" i="2"/>
  <c r="M167" i="2"/>
  <c r="Z167" i="2"/>
  <c r="Y167" i="2"/>
  <c r="X167" i="2"/>
  <c r="Q167" i="2"/>
  <c r="M24" i="2"/>
  <c r="Z24" i="2"/>
  <c r="Q24" i="2"/>
  <c r="X24" i="2"/>
  <c r="Y24" i="2"/>
  <c r="Y120" i="2"/>
  <c r="Q120" i="2"/>
  <c r="X120" i="2"/>
  <c r="Z120" i="2"/>
  <c r="Y15" i="2"/>
  <c r="Z15" i="2"/>
  <c r="X15" i="2"/>
  <c r="Q15" i="2"/>
  <c r="X111" i="2"/>
  <c r="Z111" i="2"/>
  <c r="Y111" i="2"/>
  <c r="Q111" i="2"/>
  <c r="Y141" i="2"/>
  <c r="X141" i="2"/>
  <c r="Q141" i="2"/>
  <c r="Z141" i="2"/>
  <c r="Z168" i="2"/>
  <c r="X168" i="2"/>
  <c r="Y168" i="2"/>
  <c r="Q168" i="2"/>
  <c r="Z115" i="2"/>
  <c r="Y115" i="2"/>
  <c r="X115" i="2"/>
  <c r="Q115" i="2"/>
  <c r="Z9" i="2"/>
  <c r="Q9" i="2"/>
  <c r="X9" i="2"/>
  <c r="Y9" i="2"/>
  <c r="X70" i="2"/>
  <c r="Y70" i="2"/>
  <c r="Z70" i="2"/>
  <c r="Q70" i="2"/>
  <c r="M14" i="2"/>
  <c r="Z62" i="2"/>
  <c r="Q62" i="2"/>
  <c r="Y62" i="2"/>
  <c r="X62" i="2"/>
  <c r="Q182" i="2"/>
  <c r="X182" i="2"/>
  <c r="Y182" i="2"/>
  <c r="Z182" i="2"/>
  <c r="Y160" i="2"/>
  <c r="Q160" i="2"/>
  <c r="X160" i="2"/>
  <c r="Z160" i="2"/>
  <c r="X113" i="2"/>
  <c r="Y113" i="2"/>
  <c r="Q113" i="2"/>
  <c r="Z113" i="2"/>
  <c r="M162" i="2"/>
  <c r="X162" i="2"/>
  <c r="Y162" i="2"/>
  <c r="Z162" i="2"/>
  <c r="Q162" i="2"/>
  <c r="M45" i="2"/>
  <c r="Z45" i="2"/>
  <c r="Q45" i="2"/>
  <c r="X45" i="2"/>
  <c r="Y45" i="2"/>
  <c r="X93" i="2"/>
  <c r="Y93" i="2"/>
  <c r="Q93" i="2"/>
  <c r="Z93" i="2"/>
  <c r="Z166" i="2"/>
  <c r="Y166" i="2"/>
  <c r="Q166" i="2"/>
  <c r="X166" i="2"/>
  <c r="Y68" i="2"/>
  <c r="Q68" i="2"/>
  <c r="X68" i="2"/>
  <c r="Z68" i="2"/>
  <c r="X72" i="2"/>
  <c r="Z72" i="2"/>
  <c r="Q72" i="2"/>
  <c r="Y72" i="2"/>
  <c r="Q76" i="2"/>
  <c r="X76" i="2" s="1"/>
  <c r="Y76" i="2" s="1"/>
  <c r="Z76" i="2"/>
  <c r="X127" i="2"/>
  <c r="Z127" i="2"/>
  <c r="Y127" i="2"/>
  <c r="Q127" i="2"/>
  <c r="X21" i="2"/>
  <c r="Q21" i="2"/>
  <c r="Y21" i="2"/>
  <c r="Z21" i="2"/>
  <c r="M18" i="2"/>
  <c r="M191" i="2"/>
  <c r="Y191" i="2"/>
  <c r="Q191" i="2"/>
  <c r="Z191" i="2"/>
  <c r="X191" i="2"/>
  <c r="M192" i="2"/>
  <c r="Y192" i="2"/>
  <c r="X192" i="2"/>
  <c r="Q192" i="2"/>
  <c r="Z192" i="2"/>
  <c r="Y121" i="2"/>
  <c r="X121" i="2"/>
  <c r="Q121" i="2"/>
  <c r="Z121" i="2"/>
  <c r="Z64" i="2"/>
  <c r="Q64" i="2"/>
  <c r="X64" i="2"/>
  <c r="Y64" i="2"/>
  <c r="M42" i="2"/>
  <c r="Z42" i="2"/>
  <c r="Q42" i="2"/>
  <c r="Y42" i="2"/>
  <c r="X42" i="2"/>
  <c r="M90" i="2"/>
  <c r="X90" i="2"/>
  <c r="Y90" i="2"/>
  <c r="Z90" i="2"/>
  <c r="Q90" i="2"/>
  <c r="Q153" i="2"/>
  <c r="Z153" i="2"/>
  <c r="X153" i="2"/>
  <c r="Y153" i="2"/>
  <c r="Z80" i="2"/>
  <c r="Q80" i="2"/>
  <c r="X80" i="2"/>
  <c r="Y80" i="2"/>
  <c r="Z79" i="2"/>
  <c r="Y79" i="2"/>
  <c r="X79" i="2"/>
  <c r="Q79" i="2"/>
  <c r="Y139" i="2"/>
  <c r="Q139" i="2"/>
  <c r="Z139" i="2"/>
  <c r="X139" i="2"/>
  <c r="Y33" i="2"/>
  <c r="X33" i="2"/>
  <c r="Z33" i="2"/>
  <c r="Q33" i="2"/>
  <c r="Z134" i="2"/>
  <c r="Y134" i="2"/>
  <c r="Q134" i="2"/>
  <c r="X134" i="2"/>
  <c r="M62" i="2"/>
  <c r="M183" i="2"/>
  <c r="M40" i="2"/>
  <c r="Z48" i="2"/>
  <c r="Y48" i="2"/>
  <c r="Q48" i="2"/>
  <c r="X48" i="2"/>
  <c r="M39" i="2"/>
  <c r="X39" i="2"/>
  <c r="Z39" i="2"/>
  <c r="Q39" i="2"/>
  <c r="Y39" i="2"/>
  <c r="M135" i="2"/>
  <c r="Z135" i="2"/>
  <c r="Y135" i="2"/>
  <c r="X135" i="2"/>
  <c r="Q135" i="2"/>
  <c r="M184" i="2"/>
  <c r="X184" i="2"/>
  <c r="Q184" i="2"/>
  <c r="Z184" i="2"/>
  <c r="Y184" i="2"/>
  <c r="Y174" i="2"/>
  <c r="Z174" i="2"/>
  <c r="X174" i="2"/>
  <c r="Q174" i="2"/>
  <c r="X56" i="2"/>
  <c r="Z56" i="2"/>
  <c r="Q56" i="2"/>
  <c r="Y56" i="2"/>
  <c r="M169" i="2"/>
  <c r="Q169" i="2"/>
  <c r="Z169" i="2"/>
  <c r="X169" i="2"/>
  <c r="Y169" i="2"/>
  <c r="X91" i="2"/>
  <c r="Y91" i="2"/>
  <c r="Z91" i="2"/>
  <c r="Q91" i="2"/>
  <c r="Z44" i="2"/>
  <c r="Q44" i="2"/>
  <c r="X44" i="2"/>
  <c r="Y44" i="2"/>
  <c r="M177" i="2"/>
  <c r="M64" i="2"/>
  <c r="M66" i="2"/>
  <c r="M46" i="2"/>
  <c r="X145" i="2"/>
  <c r="Y145" i="2"/>
  <c r="Q145" i="2"/>
  <c r="Z145" i="2"/>
  <c r="Y86" i="2"/>
  <c r="Q86" i="2"/>
  <c r="Z86" i="2"/>
  <c r="X86" i="2"/>
  <c r="X41" i="2"/>
  <c r="Q41" i="2"/>
  <c r="Y41" i="2"/>
  <c r="Z41" i="2"/>
  <c r="Q137" i="2"/>
  <c r="Z137" i="2"/>
  <c r="X137" i="2"/>
  <c r="Y137" i="2"/>
  <c r="X57" i="2"/>
  <c r="Q57" i="2"/>
  <c r="Y57" i="2"/>
  <c r="Z57" i="2"/>
  <c r="Y105" i="2"/>
  <c r="X105" i="2"/>
  <c r="Q105" i="2"/>
  <c r="Z105" i="2"/>
  <c r="X165" i="2"/>
  <c r="Y165" i="2"/>
  <c r="Q165" i="2"/>
  <c r="Z165" i="2"/>
  <c r="M110" i="2"/>
  <c r="Y49" i="2"/>
  <c r="X49" i="2"/>
  <c r="Z49" i="2"/>
  <c r="Q49" i="2"/>
  <c r="Y159" i="2"/>
  <c r="Q159" i="2"/>
  <c r="Z159" i="2"/>
  <c r="X159" i="2"/>
  <c r="Y88" i="2"/>
  <c r="X88" i="2"/>
  <c r="Q88" i="2"/>
  <c r="Z88" i="2"/>
  <c r="Z6" i="2"/>
  <c r="Q6" i="2"/>
  <c r="Y6" i="2"/>
  <c r="X6" i="2"/>
  <c r="X54" i="2"/>
  <c r="Y54" i="2"/>
  <c r="Z54" i="2"/>
  <c r="Q54" i="2"/>
  <c r="Y102" i="2"/>
  <c r="Q102" i="2"/>
  <c r="Z102" i="2"/>
  <c r="X102" i="2"/>
  <c r="Z186" i="2"/>
  <c r="Q186" i="2"/>
  <c r="Y186" i="2"/>
  <c r="X186" i="2"/>
  <c r="AG166" i="2"/>
  <c r="AL2" i="2"/>
  <c r="AG10" i="2"/>
  <c r="AG190" i="2"/>
  <c r="AG130" i="2"/>
  <c r="AG2" i="2"/>
  <c r="AG167" i="2"/>
  <c r="AG62" i="2"/>
  <c r="AG48" i="2"/>
  <c r="AG128" i="2"/>
  <c r="AG50" i="2"/>
  <c r="AG43" i="2"/>
  <c r="AG152" i="2"/>
  <c r="AG179" i="2"/>
  <c r="AG82" i="2"/>
  <c r="AG40" i="2"/>
  <c r="AD188" i="2"/>
  <c r="AF188" i="2" s="1"/>
  <c r="AD175" i="2"/>
  <c r="AF175" i="2" s="1"/>
  <c r="AG124" i="2"/>
  <c r="AG6" i="2"/>
  <c r="AG3" i="2"/>
  <c r="AG125" i="2"/>
  <c r="AD67" i="2"/>
  <c r="AF67" i="2" s="1"/>
  <c r="AD7" i="2"/>
  <c r="AF7" i="2" s="1"/>
  <c r="AD128" i="2"/>
  <c r="AF128" i="2" s="1"/>
  <c r="AD31" i="2"/>
  <c r="AF31" i="2" s="1"/>
  <c r="AG68" i="2"/>
  <c r="AG178" i="2"/>
  <c r="AG59" i="2"/>
  <c r="AG137" i="2"/>
  <c r="AG176" i="2"/>
  <c r="AG27" i="2"/>
  <c r="AG44" i="2"/>
  <c r="AG192" i="2"/>
  <c r="AG51" i="2"/>
  <c r="AG88" i="2"/>
  <c r="AG33" i="2"/>
  <c r="AG63" i="2"/>
  <c r="AG119" i="2"/>
  <c r="AG102" i="2"/>
  <c r="AG22" i="2"/>
  <c r="AG165" i="2"/>
  <c r="AG139" i="2"/>
  <c r="AG41" i="2"/>
  <c r="AG146" i="2"/>
  <c r="AG123" i="2"/>
  <c r="AG18" i="2"/>
  <c r="AG110" i="2"/>
  <c r="AG29" i="2"/>
  <c r="AG35" i="2"/>
  <c r="AG96" i="2"/>
  <c r="AG86" i="2"/>
  <c r="AG113" i="2"/>
  <c r="AG107" i="2"/>
  <c r="AG76" i="2"/>
  <c r="AG34" i="2"/>
  <c r="AG189" i="2"/>
  <c r="AG158" i="2"/>
  <c r="AG87" i="2"/>
  <c r="AG45" i="2"/>
  <c r="AG120" i="2"/>
  <c r="AG78" i="2"/>
  <c r="AG106" i="2"/>
  <c r="AG182" i="2"/>
  <c r="AG94" i="2"/>
  <c r="AG162" i="2"/>
  <c r="AG53" i="2"/>
  <c r="AG9" i="2"/>
  <c r="AG149" i="2"/>
  <c r="AG150" i="2"/>
  <c r="AG100" i="2"/>
  <c r="AG39" i="2"/>
  <c r="AG171" i="2"/>
  <c r="AG58" i="2"/>
  <c r="AG70" i="2"/>
  <c r="AG93" i="2"/>
  <c r="AG127" i="2"/>
  <c r="AG75" i="2"/>
  <c r="AG99" i="2"/>
  <c r="AG104" i="2"/>
  <c r="AG69" i="2"/>
  <c r="AG81" i="2"/>
  <c r="AG114" i="2"/>
  <c r="AG160" i="2"/>
  <c r="AG121" i="2"/>
  <c r="AG140" i="2"/>
  <c r="AG135" i="2"/>
  <c r="AG111" i="2"/>
  <c r="AG56" i="2"/>
  <c r="AG116" i="2"/>
  <c r="AG142" i="2"/>
  <c r="AG71" i="2"/>
  <c r="AG47" i="2"/>
  <c r="AG105" i="2"/>
  <c r="AG117" i="2"/>
  <c r="AG143" i="2"/>
  <c r="AG74" i="2"/>
  <c r="AG20" i="2"/>
  <c r="AG92" i="2"/>
  <c r="AG91" i="2"/>
  <c r="AG103" i="2"/>
  <c r="AG154" i="2"/>
  <c r="AG164" i="2"/>
  <c r="AG31" i="2"/>
  <c r="AG32" i="2"/>
  <c r="AG193" i="2"/>
  <c r="AG161" i="2"/>
  <c r="AG115" i="2"/>
  <c r="AG183" i="2"/>
  <c r="AG141" i="2"/>
  <c r="AG153" i="2"/>
  <c r="AG148" i="2"/>
  <c r="AG21" i="2"/>
  <c r="AG55" i="2"/>
  <c r="AG112" i="2"/>
  <c r="AG191" i="2"/>
  <c r="AG131" i="2"/>
  <c r="AG173" i="2"/>
  <c r="AG23" i="2"/>
  <c r="AG126" i="2"/>
  <c r="AG138" i="2"/>
  <c r="AG187" i="2"/>
  <c r="AG26" i="2"/>
  <c r="AG49" i="2"/>
  <c r="AG42" i="2"/>
  <c r="AG67" i="2"/>
  <c r="AD164" i="2"/>
  <c r="AF164" i="2" s="1"/>
  <c r="AD152" i="2"/>
  <c r="AF152" i="2" s="1"/>
  <c r="AD20" i="2"/>
  <c r="AF20" i="2" s="1"/>
  <c r="AD163" i="2"/>
  <c r="AF163" i="2" s="1"/>
  <c r="AG5" i="2"/>
  <c r="AG54" i="2"/>
  <c r="AG77" i="2"/>
  <c r="AG174" i="2"/>
  <c r="AG17" i="2"/>
  <c r="AG52" i="2"/>
  <c r="AG64" i="2"/>
  <c r="AG65" i="2"/>
  <c r="AG184" i="2"/>
  <c r="AG66" i="2"/>
  <c r="AG28" i="2"/>
  <c r="AG172" i="2"/>
  <c r="AG60" i="2"/>
  <c r="AG151" i="2"/>
  <c r="AG57" i="2"/>
  <c r="AG11" i="2"/>
  <c r="AG155" i="2"/>
  <c r="AG98" i="2"/>
  <c r="AG129" i="2"/>
  <c r="AG122" i="2"/>
  <c r="AG61" i="2"/>
  <c r="AD32" i="2"/>
  <c r="AF32" i="2" s="1"/>
  <c r="AG188" i="2"/>
  <c r="AG170" i="2"/>
  <c r="AG159" i="2"/>
  <c r="AG163" i="2"/>
  <c r="AG72" i="2"/>
  <c r="AG37" i="2"/>
  <c r="AG109" i="2"/>
  <c r="AG46" i="2"/>
  <c r="AG95" i="2"/>
  <c r="AG38" i="2"/>
  <c r="AG84" i="2"/>
  <c r="AG147" i="2"/>
  <c r="AG89" i="2"/>
  <c r="AG79" i="2"/>
  <c r="AG177" i="2"/>
  <c r="AG12" i="2"/>
  <c r="AG101" i="2"/>
  <c r="AG24" i="2"/>
  <c r="AG97" i="2"/>
  <c r="AG80" i="2"/>
  <c r="AG136" i="2"/>
  <c r="AG175" i="2"/>
  <c r="AG185" i="2"/>
  <c r="AG4" i="2"/>
  <c r="AG36" i="2"/>
  <c r="AG108" i="2"/>
  <c r="AG73" i="2"/>
  <c r="AD43" i="2"/>
  <c r="AF43" i="2" s="1"/>
  <c r="AG19" i="2"/>
  <c r="AD19" i="2"/>
  <c r="AF19" i="2" s="1"/>
  <c r="AG15" i="2"/>
  <c r="AG7" i="2"/>
  <c r="AG30" i="2"/>
  <c r="AG118" i="2"/>
  <c r="AG186" i="2"/>
  <c r="AG90" i="2"/>
  <c r="AG83" i="2"/>
  <c r="AG14" i="2"/>
  <c r="AG134" i="2"/>
  <c r="AG25" i="2"/>
  <c r="AG13" i="2"/>
  <c r="AG85" i="2"/>
  <c r="AD140" i="2"/>
  <c r="AF140" i="2" s="1"/>
  <c r="AD176" i="2"/>
  <c r="AF176" i="2" s="1"/>
  <c r="AD116" i="2"/>
  <c r="AF116" i="2" s="1"/>
  <c r="AD187" i="2"/>
  <c r="AF187" i="2" s="1"/>
  <c r="AD151" i="2"/>
  <c r="AF151" i="2" s="1"/>
  <c r="AD8" i="2"/>
  <c r="AF8" i="2" s="1"/>
  <c r="AD55" i="2"/>
  <c r="AF55" i="2" s="1"/>
  <c r="AC143" i="2"/>
  <c r="AE143" i="2" s="1"/>
  <c r="AB143" i="2"/>
  <c r="AA143" i="2"/>
  <c r="AA49" i="2"/>
  <c r="AB49" i="2"/>
  <c r="AC49" i="2"/>
  <c r="AE49" i="2" s="1"/>
  <c r="AC95" i="2"/>
  <c r="AE95" i="2" s="1"/>
  <c r="AB95" i="2"/>
  <c r="AA95" i="2"/>
  <c r="AC118" i="2"/>
  <c r="AE118" i="2" s="1"/>
  <c r="AB118" i="2"/>
  <c r="AA118" i="2"/>
  <c r="AC182" i="2"/>
  <c r="AE182" i="2" s="1"/>
  <c r="AB182" i="2"/>
  <c r="AA182" i="2"/>
  <c r="AC141" i="2"/>
  <c r="AE141" i="2" s="1"/>
  <c r="AB141" i="2"/>
  <c r="AA141" i="2"/>
  <c r="AC30" i="2"/>
  <c r="AE30" i="2" s="1"/>
  <c r="AB30" i="2"/>
  <c r="AA30" i="2"/>
  <c r="AC150" i="2"/>
  <c r="AE150" i="2" s="1"/>
  <c r="AB150" i="2"/>
  <c r="AA150" i="2"/>
  <c r="AC23" i="2"/>
  <c r="AE23" i="2" s="1"/>
  <c r="AB23" i="2"/>
  <c r="AA23" i="2"/>
  <c r="AC96" i="2"/>
  <c r="AE96" i="2" s="1"/>
  <c r="AA96" i="2"/>
  <c r="AB96" i="2"/>
  <c r="AC110" i="2"/>
  <c r="AE110" i="2" s="1"/>
  <c r="AB110" i="2"/>
  <c r="AA110" i="2"/>
  <c r="AC136" i="2"/>
  <c r="AE136" i="2" s="1"/>
  <c r="AB136" i="2"/>
  <c r="AA136" i="2"/>
  <c r="AC153" i="2"/>
  <c r="AE153" i="2" s="1"/>
  <c r="AB153" i="2"/>
  <c r="AA153" i="2"/>
  <c r="AC137" i="2"/>
  <c r="AE137" i="2" s="1"/>
  <c r="AB137" i="2"/>
  <c r="AA137" i="2"/>
  <c r="AC78" i="2"/>
  <c r="AE78" i="2" s="1"/>
  <c r="AB78" i="2"/>
  <c r="AA78" i="2"/>
  <c r="AC166" i="2"/>
  <c r="AE166" i="2" s="1"/>
  <c r="AB166" i="2"/>
  <c r="AA166" i="2"/>
  <c r="AC115" i="2"/>
  <c r="AE115" i="2" s="1"/>
  <c r="AB115" i="2"/>
  <c r="AA115" i="2"/>
  <c r="AC9" i="2"/>
  <c r="AE9" i="2" s="1"/>
  <c r="AB9" i="2"/>
  <c r="AA9" i="2"/>
  <c r="AC70" i="2"/>
  <c r="AE70" i="2" s="1"/>
  <c r="AB70" i="2"/>
  <c r="AA70" i="2"/>
  <c r="AC15" i="2"/>
  <c r="AE15" i="2" s="1"/>
  <c r="AB15" i="2"/>
  <c r="AA15" i="2"/>
  <c r="AC89" i="2"/>
  <c r="AE89" i="2" s="1"/>
  <c r="AB89" i="2"/>
  <c r="AA89" i="2"/>
  <c r="AC162" i="2"/>
  <c r="AE162" i="2" s="1"/>
  <c r="AB162" i="2"/>
  <c r="AA162" i="2"/>
  <c r="AC93" i="2"/>
  <c r="AE93" i="2" s="1"/>
  <c r="AB93" i="2"/>
  <c r="AA93" i="2"/>
  <c r="AC127" i="2"/>
  <c r="AE127" i="2" s="1"/>
  <c r="AB127" i="2"/>
  <c r="AA127" i="2"/>
  <c r="AC21" i="2"/>
  <c r="AE21" i="2" s="1"/>
  <c r="AB21" i="2"/>
  <c r="AA21" i="2"/>
  <c r="AC134" i="2"/>
  <c r="AE134" i="2" s="1"/>
  <c r="AB134" i="2"/>
  <c r="AA134" i="2"/>
  <c r="AB48" i="2"/>
  <c r="AC48" i="2"/>
  <c r="AE48" i="2" s="1"/>
  <c r="AA48" i="2"/>
  <c r="AA121" i="2"/>
  <c r="AB121" i="2"/>
  <c r="AC121" i="2"/>
  <c r="AE121" i="2" s="1"/>
  <c r="AC62" i="2"/>
  <c r="AE62" i="2" s="1"/>
  <c r="AB62" i="2"/>
  <c r="AA62" i="2"/>
  <c r="AC135" i="2"/>
  <c r="AE135" i="2" s="1"/>
  <c r="AB135" i="2"/>
  <c r="AA135" i="2"/>
  <c r="AC88" i="2"/>
  <c r="AE88" i="2" s="1"/>
  <c r="AB88" i="2"/>
  <c r="AA88" i="2"/>
  <c r="AC161" i="2"/>
  <c r="AE161" i="2" s="1"/>
  <c r="AB161" i="2"/>
  <c r="AA161" i="2"/>
  <c r="AC42" i="2"/>
  <c r="AE42" i="2" s="1"/>
  <c r="AB42" i="2"/>
  <c r="AA42" i="2"/>
  <c r="AC90" i="2"/>
  <c r="AE90" i="2" s="1"/>
  <c r="AB90" i="2"/>
  <c r="AA90" i="2"/>
  <c r="AC57" i="2"/>
  <c r="AE57" i="2" s="1"/>
  <c r="AB57" i="2"/>
  <c r="AA57" i="2"/>
  <c r="AC105" i="2"/>
  <c r="AE105" i="2" s="1"/>
  <c r="AB105" i="2"/>
  <c r="AA105" i="2"/>
  <c r="AC165" i="2"/>
  <c r="AE165" i="2" s="1"/>
  <c r="AB165" i="2"/>
  <c r="AA165" i="2"/>
  <c r="AC79" i="2"/>
  <c r="AE79" i="2" s="1"/>
  <c r="AB79" i="2"/>
  <c r="AA79" i="2"/>
  <c r="AC139" i="2"/>
  <c r="AE139" i="2" s="1"/>
  <c r="AB139" i="2"/>
  <c r="AA139" i="2"/>
  <c r="AC33" i="2"/>
  <c r="AE33" i="2" s="1"/>
  <c r="AB33" i="2"/>
  <c r="AA33" i="2"/>
  <c r="M49" i="2"/>
  <c r="M30" i="2"/>
  <c r="AC160" i="2"/>
  <c r="AE160" i="2" s="1"/>
  <c r="AB160" i="2"/>
  <c r="AA160" i="2"/>
  <c r="AC41" i="2"/>
  <c r="AE41" i="2" s="1"/>
  <c r="AB41" i="2"/>
  <c r="AA41" i="2"/>
  <c r="AC174" i="2"/>
  <c r="AE174" i="2" s="1"/>
  <c r="AB174" i="2"/>
  <c r="AA174" i="2"/>
  <c r="AC91" i="2"/>
  <c r="AE91" i="2" s="1"/>
  <c r="AB91" i="2"/>
  <c r="AA91" i="2"/>
  <c r="AC44" i="2"/>
  <c r="AE44" i="2" s="1"/>
  <c r="AB44" i="2"/>
  <c r="AA44" i="2"/>
  <c r="M137" i="2"/>
  <c r="AC167" i="2"/>
  <c r="AE167" i="2" s="1"/>
  <c r="AB167" i="2"/>
  <c r="AA167" i="2"/>
  <c r="AA73" i="2"/>
  <c r="AB73" i="2"/>
  <c r="AC73" i="2"/>
  <c r="AE73" i="2" s="1"/>
  <c r="AC14" i="2"/>
  <c r="AE14" i="2" s="1"/>
  <c r="AB14" i="2"/>
  <c r="AA14" i="2"/>
  <c r="AC87" i="2"/>
  <c r="AE87" i="2" s="1"/>
  <c r="AB87" i="2"/>
  <c r="AA87" i="2"/>
  <c r="AC40" i="2"/>
  <c r="AE40" i="2" s="1"/>
  <c r="AB40" i="2"/>
  <c r="AA40" i="2"/>
  <c r="AC177" i="2"/>
  <c r="AE177" i="2" s="1"/>
  <c r="AB177" i="2"/>
  <c r="AA177" i="2"/>
  <c r="AC142" i="2"/>
  <c r="AE142" i="2" s="1"/>
  <c r="AB142" i="2"/>
  <c r="AA142" i="2"/>
  <c r="AA193" i="2"/>
  <c r="AB193" i="2"/>
  <c r="AC193" i="2"/>
  <c r="AE193" i="2" s="1"/>
  <c r="AA144" i="2"/>
  <c r="AB144" i="2"/>
  <c r="AC144" i="2"/>
  <c r="AE144" i="2" s="1"/>
  <c r="AC103" i="2"/>
  <c r="AE103" i="2" s="1"/>
  <c r="AB103" i="2"/>
  <c r="AA103" i="2"/>
  <c r="AC56" i="2"/>
  <c r="AE56" i="2" s="1"/>
  <c r="AB56" i="2"/>
  <c r="AA56" i="2"/>
  <c r="AC16" i="2"/>
  <c r="AE16" i="2" s="1"/>
  <c r="AB16" i="2"/>
  <c r="AA16" i="2"/>
  <c r="AB120" i="2"/>
  <c r="AC120" i="2"/>
  <c r="AE120" i="2" s="1"/>
  <c r="AA120" i="2"/>
  <c r="AA145" i="2"/>
  <c r="AB145" i="2"/>
  <c r="AC145" i="2"/>
  <c r="AE145" i="2" s="1"/>
  <c r="AC159" i="2"/>
  <c r="AE159" i="2" s="1"/>
  <c r="AB159" i="2"/>
  <c r="AA159" i="2"/>
  <c r="AC185" i="2"/>
  <c r="AE185" i="2" s="1"/>
  <c r="AB185" i="2"/>
  <c r="AA185" i="2"/>
  <c r="AC6" i="2"/>
  <c r="AE6" i="2" s="1"/>
  <c r="AB6" i="2"/>
  <c r="AA6" i="2"/>
  <c r="AC54" i="2"/>
  <c r="AE54" i="2" s="1"/>
  <c r="AB54" i="2"/>
  <c r="AA54" i="2"/>
  <c r="AC102" i="2"/>
  <c r="AE102" i="2" s="1"/>
  <c r="AB102" i="2"/>
  <c r="AA102" i="2"/>
  <c r="AC186" i="2"/>
  <c r="AE186" i="2" s="1"/>
  <c r="AB186" i="2"/>
  <c r="AA186" i="2"/>
  <c r="AC69" i="2"/>
  <c r="AE69" i="2" s="1"/>
  <c r="AB69" i="2"/>
  <c r="AA69" i="2"/>
  <c r="AC117" i="2"/>
  <c r="AE117" i="2" s="1"/>
  <c r="AB117" i="2"/>
  <c r="AA117" i="2"/>
  <c r="AB192" i="2"/>
  <c r="AC192" i="2"/>
  <c r="AE192" i="2" s="1"/>
  <c r="AA192" i="2"/>
  <c r="AC168" i="2"/>
  <c r="AE168" i="2" s="1"/>
  <c r="AA168" i="2"/>
  <c r="AB168" i="2"/>
  <c r="AC114" i="2"/>
  <c r="AE114" i="2" s="1"/>
  <c r="AB114" i="2"/>
  <c r="AA114" i="2"/>
  <c r="AC68" i="2"/>
  <c r="AE68" i="2" s="1"/>
  <c r="AB68" i="2"/>
  <c r="AA68" i="2"/>
  <c r="AC22" i="2"/>
  <c r="AE22" i="2" s="1"/>
  <c r="AB22" i="2"/>
  <c r="AA22" i="2"/>
  <c r="AC39" i="2"/>
  <c r="AE39" i="2" s="1"/>
  <c r="AB39" i="2"/>
  <c r="AA39" i="2"/>
  <c r="AC184" i="2"/>
  <c r="AE184" i="2" s="1"/>
  <c r="AB184" i="2"/>
  <c r="AA184" i="2"/>
  <c r="AC113" i="2"/>
  <c r="AE113" i="2" s="1"/>
  <c r="AB113" i="2"/>
  <c r="AA113" i="2"/>
  <c r="AC189" i="2"/>
  <c r="AE189" i="2" s="1"/>
  <c r="AB189" i="2"/>
  <c r="AA189" i="2"/>
  <c r="AC63" i="2"/>
  <c r="AE63" i="2" s="1"/>
  <c r="AB63" i="2"/>
  <c r="AA63" i="2"/>
  <c r="AC126" i="2"/>
  <c r="AE126" i="2" s="1"/>
  <c r="AB126" i="2"/>
  <c r="AA126" i="2"/>
  <c r="AC80" i="2"/>
  <c r="AE80" i="2" s="1"/>
  <c r="AB80" i="2"/>
  <c r="AA80" i="2"/>
  <c r="AC17" i="2"/>
  <c r="AE17" i="2" s="1"/>
  <c r="AB17" i="2"/>
  <c r="AA17" i="2"/>
  <c r="M78" i="2"/>
  <c r="M166" i="2"/>
  <c r="AC191" i="2"/>
  <c r="AE191" i="2" s="1"/>
  <c r="AB191" i="2"/>
  <c r="AA191" i="2"/>
  <c r="AA72" i="2"/>
  <c r="AB72" i="2"/>
  <c r="AC72" i="2"/>
  <c r="AE72" i="2" s="1"/>
  <c r="AC86" i="2"/>
  <c r="AE86" i="2" s="1"/>
  <c r="AB86" i="2"/>
  <c r="AA86" i="2"/>
  <c r="AC158" i="2"/>
  <c r="AE158" i="2" s="1"/>
  <c r="AB158" i="2"/>
  <c r="AA158" i="2"/>
  <c r="AC112" i="2"/>
  <c r="AE112" i="2" s="1"/>
  <c r="AB112" i="2"/>
  <c r="AA112" i="2"/>
  <c r="AC47" i="2"/>
  <c r="AE47" i="2" s="1"/>
  <c r="AB47" i="2"/>
  <c r="AA47" i="2"/>
  <c r="AC25" i="2"/>
  <c r="AE25" i="2" s="1"/>
  <c r="AA25" i="2"/>
  <c r="AB25" i="2"/>
  <c r="AC138" i="2"/>
  <c r="AE138" i="2" s="1"/>
  <c r="AB138" i="2"/>
  <c r="AA138" i="2"/>
  <c r="AC92" i="2"/>
  <c r="AE92" i="2" s="1"/>
  <c r="AB92" i="2"/>
  <c r="AA92" i="2"/>
  <c r="M93" i="2"/>
  <c r="AC169" i="2"/>
  <c r="AE169" i="2" s="1"/>
  <c r="AA169" i="2"/>
  <c r="AB169" i="2"/>
  <c r="AC183" i="2"/>
  <c r="AE183" i="2" s="1"/>
  <c r="AB183" i="2"/>
  <c r="AA183" i="2"/>
  <c r="AC65" i="2"/>
  <c r="AE65" i="2" s="1"/>
  <c r="AB65" i="2"/>
  <c r="AA65" i="2"/>
  <c r="AC18" i="2"/>
  <c r="AE18" i="2" s="1"/>
  <c r="AB18" i="2"/>
  <c r="AA18" i="2"/>
  <c r="AC66" i="2"/>
  <c r="AE66" i="2" s="1"/>
  <c r="AB66" i="2"/>
  <c r="AA66" i="2"/>
  <c r="AC190" i="2"/>
  <c r="AE190" i="2" s="1"/>
  <c r="AB190" i="2"/>
  <c r="AA190" i="2"/>
  <c r="AC81" i="2"/>
  <c r="AE81" i="2" s="1"/>
  <c r="AB81" i="2"/>
  <c r="AA81" i="2"/>
  <c r="AC129" i="2"/>
  <c r="AE129" i="2" s="1"/>
  <c r="AB129" i="2"/>
  <c r="AA129" i="2"/>
  <c r="AC45" i="2"/>
  <c r="AE45" i="2" s="1"/>
  <c r="AB45" i="2"/>
  <c r="AA45" i="2"/>
  <c r="AC71" i="2"/>
  <c r="AE71" i="2" s="1"/>
  <c r="AB71" i="2"/>
  <c r="AA71" i="2"/>
  <c r="AC94" i="2"/>
  <c r="AE94" i="2" s="1"/>
  <c r="AB94" i="2"/>
  <c r="AA94" i="2"/>
  <c r="AC104" i="2"/>
  <c r="AE104" i="2" s="1"/>
  <c r="AB104" i="2"/>
  <c r="AA104" i="2"/>
  <c r="M193" i="2"/>
  <c r="M63" i="2"/>
  <c r="AC119" i="2"/>
  <c r="AE119" i="2" s="1"/>
  <c r="AB119" i="2"/>
  <c r="AA119" i="2"/>
  <c r="AC24" i="2"/>
  <c r="AE24" i="2" s="1"/>
  <c r="AA24" i="2"/>
  <c r="AB24" i="2"/>
  <c r="AC97" i="2"/>
  <c r="AE97" i="2" s="1"/>
  <c r="AA97" i="2"/>
  <c r="AB97" i="2"/>
  <c r="AC38" i="2"/>
  <c r="AE38" i="2" s="1"/>
  <c r="AB38" i="2"/>
  <c r="AA38" i="2"/>
  <c r="AC111" i="2"/>
  <c r="AE111" i="2" s="1"/>
  <c r="AB111" i="2"/>
  <c r="AA111" i="2"/>
  <c r="AC64" i="2"/>
  <c r="AE64" i="2" s="1"/>
  <c r="AB64" i="2"/>
  <c r="AA64" i="2"/>
  <c r="AC46" i="2"/>
  <c r="AE46" i="2" s="1"/>
  <c r="AB46" i="2"/>
  <c r="AA46" i="2"/>
  <c r="M53" i="2"/>
  <c r="T53" i="2" s="1"/>
  <c r="M95" i="2"/>
  <c r="M27" i="2"/>
  <c r="T27" i="2" s="1"/>
  <c r="M118" i="2"/>
  <c r="M83" i="2"/>
  <c r="M23" i="2"/>
  <c r="M29" i="2"/>
  <c r="T29" i="2" s="1"/>
  <c r="M94" i="2"/>
  <c r="M143" i="2"/>
  <c r="M51" i="2"/>
  <c r="T51" i="2" s="1"/>
  <c r="M142" i="2"/>
  <c r="M70" i="2"/>
  <c r="M47" i="2"/>
  <c r="M77" i="2"/>
  <c r="M75" i="2"/>
  <c r="M3" i="2"/>
  <c r="T3" i="2" s="1"/>
  <c r="M115" i="2"/>
  <c r="M9" i="2"/>
  <c r="M71" i="2"/>
  <c r="M134" i="2"/>
  <c r="M76" i="2"/>
  <c r="M13" i="2"/>
  <c r="M127" i="2"/>
  <c r="M21" i="2"/>
  <c r="M92" i="2"/>
  <c r="M79" i="2"/>
  <c r="M139" i="2"/>
  <c r="M33" i="2"/>
  <c r="M138" i="2"/>
  <c r="M91" i="2"/>
  <c r="M44" i="2"/>
  <c r="M144" i="2"/>
  <c r="M26" i="2"/>
  <c r="T26" i="2" s="1"/>
  <c r="M103" i="2"/>
  <c r="M56" i="2"/>
  <c r="M16" i="2"/>
  <c r="M25" i="2"/>
  <c r="M104" i="2"/>
  <c r="M5" i="2"/>
  <c r="T5" i="2" s="1"/>
  <c r="M168" i="2"/>
  <c r="M50" i="2"/>
  <c r="T50" i="2" s="1"/>
  <c r="M114" i="2"/>
  <c r="M68" i="2"/>
  <c r="M22" i="2"/>
  <c r="M74" i="2"/>
  <c r="M126" i="2"/>
  <c r="M80" i="2"/>
  <c r="M17" i="2"/>
  <c r="L172" i="2"/>
  <c r="T172" i="2" s="1"/>
  <c r="L100" i="2"/>
  <c r="L125" i="2"/>
  <c r="L146" i="2"/>
  <c r="L82" i="2"/>
  <c r="T82" i="2" s="1"/>
  <c r="L28" i="2"/>
  <c r="L60" i="2"/>
  <c r="L52" i="2"/>
  <c r="L107" i="2"/>
  <c r="L170" i="2"/>
  <c r="T170" i="2" s="1"/>
  <c r="L106" i="2"/>
  <c r="L179" i="2"/>
  <c r="T179" i="2" s="1"/>
  <c r="L61" i="2"/>
  <c r="L84" i="2"/>
  <c r="T84" i="2" s="1"/>
  <c r="L12" i="2"/>
  <c r="L4" i="2"/>
  <c r="L101" i="2"/>
  <c r="L11" i="2"/>
  <c r="L10" i="2"/>
  <c r="L35" i="2"/>
  <c r="L99" i="2"/>
  <c r="L34" i="2"/>
  <c r="L123" i="2"/>
  <c r="L85" i="2"/>
  <c r="T85" i="2" s="1"/>
  <c r="L58" i="2"/>
  <c r="L59" i="2"/>
  <c r="L147" i="2"/>
  <c r="L178" i="2"/>
  <c r="T178" i="2" s="1"/>
  <c r="L156" i="2"/>
  <c r="L180" i="2"/>
  <c r="T180" i="2" s="1"/>
  <c r="L131" i="2"/>
  <c r="L98" i="2"/>
  <c r="L171" i="2"/>
  <c r="T171" i="2" s="1"/>
  <c r="L181" i="2"/>
  <c r="T181" i="2" s="1"/>
  <c r="L132" i="2"/>
  <c r="L155" i="2"/>
  <c r="L122" i="2"/>
  <c r="L109" i="2"/>
  <c r="L108" i="2"/>
  <c r="L149" i="2"/>
  <c r="L37" i="2"/>
  <c r="L36" i="2"/>
  <c r="L124" i="2"/>
  <c r="L154" i="2"/>
  <c r="L133" i="2"/>
  <c r="L148" i="2"/>
  <c r="L173" i="2"/>
  <c r="T173" i="2" s="1"/>
  <c r="L157" i="2"/>
  <c r="M2" i="2"/>
  <c r="T2" i="2" s="1"/>
  <c r="T13" i="2" l="1"/>
  <c r="Z13" i="2" s="1"/>
  <c r="T130" i="2"/>
  <c r="Z130" i="2" s="1"/>
  <c r="Q170" i="2"/>
  <c r="X170" i="2" s="1"/>
  <c r="Y170" i="2" s="1"/>
  <c r="Z170" i="2"/>
  <c r="Q171" i="2"/>
  <c r="X171" i="2" s="1"/>
  <c r="Y171" i="2" s="1"/>
  <c r="Z171" i="2"/>
  <c r="Z82" i="2"/>
  <c r="Q82" i="2"/>
  <c r="X82" i="2" s="1"/>
  <c r="Y82" i="2" s="1"/>
  <c r="Q173" i="2"/>
  <c r="X173" i="2" s="1"/>
  <c r="Y173" i="2" s="1"/>
  <c r="Z173" i="2"/>
  <c r="Z180" i="2"/>
  <c r="Q180" i="2"/>
  <c r="X180" i="2" s="1"/>
  <c r="Y180" i="2" s="1"/>
  <c r="Z178" i="2"/>
  <c r="Q178" i="2"/>
  <c r="X178" i="2" s="1"/>
  <c r="Y178" i="2" s="1"/>
  <c r="Z84" i="2"/>
  <c r="Q84" i="2"/>
  <c r="X84" i="2" s="1"/>
  <c r="Y84" i="2" s="1"/>
  <c r="Z181" i="2"/>
  <c r="Q181" i="2"/>
  <c r="X181" i="2" s="1"/>
  <c r="Y181" i="2" s="1"/>
  <c r="Q172" i="2"/>
  <c r="X172" i="2" s="1"/>
  <c r="Y172" i="2" s="1"/>
  <c r="Z172" i="2"/>
  <c r="Z85" i="2"/>
  <c r="Q85" i="2"/>
  <c r="X85" i="2" s="1"/>
  <c r="Y85" i="2" s="1"/>
  <c r="Z179" i="2"/>
  <c r="Q179" i="2"/>
  <c r="X179" i="2" s="1"/>
  <c r="Y179" i="2" s="1"/>
  <c r="Z3" i="2"/>
  <c r="Q3" i="2"/>
  <c r="X3" i="2" s="1"/>
  <c r="Y3" i="2" s="1"/>
  <c r="Q5" i="2"/>
  <c r="X5" i="2" s="1"/>
  <c r="Y5" i="2" s="1"/>
  <c r="Z5" i="2"/>
  <c r="Q27" i="2"/>
  <c r="X27" i="2" s="1"/>
  <c r="Y27" i="2" s="1"/>
  <c r="Z27" i="2"/>
  <c r="Q53" i="2"/>
  <c r="X53" i="2" s="1"/>
  <c r="Y53" i="2" s="1"/>
  <c r="Z53" i="2"/>
  <c r="Q2" i="2"/>
  <c r="X2" i="2" s="1"/>
  <c r="Y2" i="2" s="1"/>
  <c r="Z2" i="2"/>
  <c r="Q50" i="2"/>
  <c r="X50" i="2" s="1"/>
  <c r="Y50" i="2" s="1"/>
  <c r="Z50" i="2"/>
  <c r="Q13" i="2"/>
  <c r="X13" i="2" s="1"/>
  <c r="Y13" i="2" s="1"/>
  <c r="Q51" i="2"/>
  <c r="X51" i="2" s="1"/>
  <c r="Y51" i="2" s="1"/>
  <c r="Z51" i="2"/>
  <c r="Q130" i="2"/>
  <c r="X130" i="2" s="1"/>
  <c r="Y130" i="2" s="1"/>
  <c r="Q26" i="2"/>
  <c r="X26" i="2" s="1"/>
  <c r="Y26" i="2" s="1"/>
  <c r="Z26" i="2"/>
  <c r="Q29" i="2"/>
  <c r="X29" i="2" s="1"/>
  <c r="Y29" i="2" s="1"/>
  <c r="Z29" i="2"/>
  <c r="AH152" i="2"/>
  <c r="AH43" i="2"/>
  <c r="AH128" i="2"/>
  <c r="AH175" i="2"/>
  <c r="AH7" i="2"/>
  <c r="AH67" i="2"/>
  <c r="AD62" i="2"/>
  <c r="AF62" i="2" s="1"/>
  <c r="AH62" i="2" s="1"/>
  <c r="AD68" i="2"/>
  <c r="AF68" i="2" s="1"/>
  <c r="AH68" i="2" s="1"/>
  <c r="AD158" i="2"/>
  <c r="AF158" i="2" s="1"/>
  <c r="AH158" i="2" s="1"/>
  <c r="AD191" i="2"/>
  <c r="AF191" i="2" s="1"/>
  <c r="AH191" i="2" s="1"/>
  <c r="AD63" i="2"/>
  <c r="AF63" i="2" s="1"/>
  <c r="AH63" i="2" s="1"/>
  <c r="AD184" i="2"/>
  <c r="AF184" i="2" s="1"/>
  <c r="AH184" i="2" s="1"/>
  <c r="AH188" i="2"/>
  <c r="AH176" i="2"/>
  <c r="AD57" i="2"/>
  <c r="AF57" i="2" s="1"/>
  <c r="AH57" i="2" s="1"/>
  <c r="AD134" i="2"/>
  <c r="AF134" i="2" s="1"/>
  <c r="AH134" i="2" s="1"/>
  <c r="AH164" i="2"/>
  <c r="AH8" i="2"/>
  <c r="AH20" i="2"/>
  <c r="AH55" i="2"/>
  <c r="AH187" i="2"/>
  <c r="AH31" i="2"/>
  <c r="AH116" i="2"/>
  <c r="AH140" i="2"/>
  <c r="AH32" i="2"/>
  <c r="AD192" i="2"/>
  <c r="AF192" i="2" s="1"/>
  <c r="AH192" i="2" s="1"/>
  <c r="AD64" i="2"/>
  <c r="AF64" i="2" s="1"/>
  <c r="AH64" i="2" s="1"/>
  <c r="AD94" i="2"/>
  <c r="AF94" i="2" s="1"/>
  <c r="AH94" i="2" s="1"/>
  <c r="AD129" i="2"/>
  <c r="AF129" i="2" s="1"/>
  <c r="AH129" i="2" s="1"/>
  <c r="AD183" i="2"/>
  <c r="AF183" i="2" s="1"/>
  <c r="AH183" i="2" s="1"/>
  <c r="AD126" i="2"/>
  <c r="AF126" i="2" s="1"/>
  <c r="AH126" i="2" s="1"/>
  <c r="AD165" i="2"/>
  <c r="AF165" i="2" s="1"/>
  <c r="AH165" i="2" s="1"/>
  <c r="AD90" i="2"/>
  <c r="AF90" i="2" s="1"/>
  <c r="AH90" i="2" s="1"/>
  <c r="AD14" i="2"/>
  <c r="AF14" i="2" s="1"/>
  <c r="AH14" i="2" s="1"/>
  <c r="AD92" i="2"/>
  <c r="AF92" i="2" s="1"/>
  <c r="AH92" i="2" s="1"/>
  <c r="AD168" i="2"/>
  <c r="AF168" i="2" s="1"/>
  <c r="AH168" i="2" s="1"/>
  <c r="AD79" i="2"/>
  <c r="AF79" i="2" s="1"/>
  <c r="AH79" i="2" s="1"/>
  <c r="AD95" i="2"/>
  <c r="AF95" i="2" s="1"/>
  <c r="AH95" i="2" s="1"/>
  <c r="AD160" i="2"/>
  <c r="AF160" i="2" s="1"/>
  <c r="AH160" i="2" s="1"/>
  <c r="AD153" i="2"/>
  <c r="AF153" i="2" s="1"/>
  <c r="AH153" i="2" s="1"/>
  <c r="AD91" i="2"/>
  <c r="AF91" i="2" s="1"/>
  <c r="AH91" i="2" s="1"/>
  <c r="AH19" i="2"/>
  <c r="AD97" i="2"/>
  <c r="AF97" i="2" s="1"/>
  <c r="AH97" i="2" s="1"/>
  <c r="AD70" i="2"/>
  <c r="AF70" i="2" s="1"/>
  <c r="AH70" i="2" s="1"/>
  <c r="AD141" i="2"/>
  <c r="AF141" i="2" s="1"/>
  <c r="AH141" i="2" s="1"/>
  <c r="AH163" i="2"/>
  <c r="AD69" i="2"/>
  <c r="AF69" i="2" s="1"/>
  <c r="AH69" i="2" s="1"/>
  <c r="AD162" i="2"/>
  <c r="AF162" i="2" s="1"/>
  <c r="AH162" i="2" s="1"/>
  <c r="AD166" i="2"/>
  <c r="AF166" i="2" s="1"/>
  <c r="AH166" i="2" s="1"/>
  <c r="AH151" i="2"/>
  <c r="AD54" i="2"/>
  <c r="AF54" i="2" s="1"/>
  <c r="AH54" i="2" s="1"/>
  <c r="AD161" i="2"/>
  <c r="AF161" i="2" s="1"/>
  <c r="AH161" i="2" s="1"/>
  <c r="AD193" i="2"/>
  <c r="AF193" i="2" s="1"/>
  <c r="AH193" i="2" s="1"/>
  <c r="AD86" i="2"/>
  <c r="AF86" i="2" s="1"/>
  <c r="AH86" i="2" s="1"/>
  <c r="AD189" i="2"/>
  <c r="AF189" i="2" s="1"/>
  <c r="AH189" i="2" s="1"/>
  <c r="AD44" i="2"/>
  <c r="AF44" i="2" s="1"/>
  <c r="AH44" i="2" s="1"/>
  <c r="AD15" i="2"/>
  <c r="AF15" i="2" s="1"/>
  <c r="AH15" i="2" s="1"/>
  <c r="AD137" i="2"/>
  <c r="AF137" i="2" s="1"/>
  <c r="AH137" i="2" s="1"/>
  <c r="AD30" i="2"/>
  <c r="AF30" i="2" s="1"/>
  <c r="AH30" i="2" s="1"/>
  <c r="AD117" i="2"/>
  <c r="AF117" i="2" s="1"/>
  <c r="AH117" i="2" s="1"/>
  <c r="AD102" i="2"/>
  <c r="AF102" i="2" s="1"/>
  <c r="AH102" i="2" s="1"/>
  <c r="AD120" i="2"/>
  <c r="AF120" i="2" s="1"/>
  <c r="AH120" i="2" s="1"/>
  <c r="AD103" i="2"/>
  <c r="AF103" i="2" s="1"/>
  <c r="AH103" i="2" s="1"/>
  <c r="AD41" i="2"/>
  <c r="AF41" i="2" s="1"/>
  <c r="AH41" i="2" s="1"/>
  <c r="AD115" i="2"/>
  <c r="AF115" i="2" s="1"/>
  <c r="AH115" i="2" s="1"/>
  <c r="AD110" i="2"/>
  <c r="AF110" i="2" s="1"/>
  <c r="AH110" i="2" s="1"/>
  <c r="AD81" i="2"/>
  <c r="AF81" i="2" s="1"/>
  <c r="AH81" i="2" s="1"/>
  <c r="AD185" i="2"/>
  <c r="AF185" i="2" s="1"/>
  <c r="AH185" i="2" s="1"/>
  <c r="AD87" i="2"/>
  <c r="AF87" i="2" s="1"/>
  <c r="AH87" i="2" s="1"/>
  <c r="AD48" i="2"/>
  <c r="AF48" i="2" s="1"/>
  <c r="AH48" i="2" s="1"/>
  <c r="AD93" i="2"/>
  <c r="AF93" i="2" s="1"/>
  <c r="AH93" i="2" s="1"/>
  <c r="AD17" i="2"/>
  <c r="AF17" i="2" s="1"/>
  <c r="AH17" i="2" s="1"/>
  <c r="AD135" i="2"/>
  <c r="AF135" i="2" s="1"/>
  <c r="AH135" i="2" s="1"/>
  <c r="AD142" i="2"/>
  <c r="AF142" i="2" s="1"/>
  <c r="AH142" i="2" s="1"/>
  <c r="AD167" i="2"/>
  <c r="AF167" i="2" s="1"/>
  <c r="AH167" i="2" s="1"/>
  <c r="AD73" i="2"/>
  <c r="AF73" i="2" s="1"/>
  <c r="AH73" i="2" s="1"/>
  <c r="AD177" i="2"/>
  <c r="AF177" i="2" s="1"/>
  <c r="AH177" i="2" s="1"/>
  <c r="AD111" i="2"/>
  <c r="AF111" i="2" s="1"/>
  <c r="AH111" i="2" s="1"/>
  <c r="AD25" i="2"/>
  <c r="AF25" i="2" s="1"/>
  <c r="AH25" i="2" s="1"/>
  <c r="AD169" i="2"/>
  <c r="AF169" i="2" s="1"/>
  <c r="AH169" i="2" s="1"/>
  <c r="AD72" i="2"/>
  <c r="AF72" i="2" s="1"/>
  <c r="AH72" i="2" s="1"/>
  <c r="AD39" i="2"/>
  <c r="AF39" i="2" s="1"/>
  <c r="AH39" i="2" s="1"/>
  <c r="AD121" i="2"/>
  <c r="AF121" i="2" s="1"/>
  <c r="AH121" i="2" s="1"/>
  <c r="AD96" i="2"/>
  <c r="AF96" i="2" s="1"/>
  <c r="AH96" i="2" s="1"/>
  <c r="AD24" i="2"/>
  <c r="AF24" i="2" s="1"/>
  <c r="AH24" i="2" s="1"/>
  <c r="AD71" i="2"/>
  <c r="AF71" i="2" s="1"/>
  <c r="AH71" i="2" s="1"/>
  <c r="AD18" i="2"/>
  <c r="AF18" i="2" s="1"/>
  <c r="AH18" i="2" s="1"/>
  <c r="AD49" i="2"/>
  <c r="AF49" i="2" s="1"/>
  <c r="AH49" i="2" s="1"/>
  <c r="AD114" i="2"/>
  <c r="AF114" i="2" s="1"/>
  <c r="AH114" i="2" s="1"/>
  <c r="AD66" i="2"/>
  <c r="AF66" i="2" s="1"/>
  <c r="AH66" i="2" s="1"/>
  <c r="AD144" i="2"/>
  <c r="AF144" i="2" s="1"/>
  <c r="AH144" i="2" s="1"/>
  <c r="AD139" i="2"/>
  <c r="AF139" i="2" s="1"/>
  <c r="AH139" i="2" s="1"/>
  <c r="AD118" i="2"/>
  <c r="AF118" i="2" s="1"/>
  <c r="AH118" i="2" s="1"/>
  <c r="AD6" i="2"/>
  <c r="AF6" i="2" s="1"/>
  <c r="AH6" i="2" s="1"/>
  <c r="AD174" i="2"/>
  <c r="AF174" i="2" s="1"/>
  <c r="AH174" i="2" s="1"/>
  <c r="AD105" i="2"/>
  <c r="AF105" i="2" s="1"/>
  <c r="AH105" i="2" s="1"/>
  <c r="AD42" i="2"/>
  <c r="AF42" i="2" s="1"/>
  <c r="AH42" i="2" s="1"/>
  <c r="AD9" i="2"/>
  <c r="AF9" i="2" s="1"/>
  <c r="AH9" i="2" s="1"/>
  <c r="AD104" i="2"/>
  <c r="AF104" i="2" s="1"/>
  <c r="AH104" i="2" s="1"/>
  <c r="AD112" i="2"/>
  <c r="AF112" i="2" s="1"/>
  <c r="AH112" i="2" s="1"/>
  <c r="AD186" i="2"/>
  <c r="AF186" i="2" s="1"/>
  <c r="AH186" i="2" s="1"/>
  <c r="AD56" i="2"/>
  <c r="AF56" i="2" s="1"/>
  <c r="AH56" i="2" s="1"/>
  <c r="AD136" i="2"/>
  <c r="AF136" i="2" s="1"/>
  <c r="AH136" i="2" s="1"/>
  <c r="AD182" i="2"/>
  <c r="AF182" i="2" s="1"/>
  <c r="AH182" i="2" s="1"/>
  <c r="AD138" i="2"/>
  <c r="AF138" i="2" s="1"/>
  <c r="AH138" i="2" s="1"/>
  <c r="AD46" i="2"/>
  <c r="AF46" i="2" s="1"/>
  <c r="AH46" i="2" s="1"/>
  <c r="AD119" i="2"/>
  <c r="AF119" i="2" s="1"/>
  <c r="AH119" i="2" s="1"/>
  <c r="AD45" i="2"/>
  <c r="AF45" i="2" s="1"/>
  <c r="AH45" i="2" s="1"/>
  <c r="AD65" i="2"/>
  <c r="AF65" i="2" s="1"/>
  <c r="AH65" i="2" s="1"/>
  <c r="AD113" i="2"/>
  <c r="AF113" i="2" s="1"/>
  <c r="AH113" i="2" s="1"/>
  <c r="AD22" i="2"/>
  <c r="AF22" i="2" s="1"/>
  <c r="AH22" i="2" s="1"/>
  <c r="AD145" i="2"/>
  <c r="AF145" i="2" s="1"/>
  <c r="AH145" i="2" s="1"/>
  <c r="AD40" i="2"/>
  <c r="AF40" i="2" s="1"/>
  <c r="AH40" i="2" s="1"/>
  <c r="AD88" i="2"/>
  <c r="AF88" i="2" s="1"/>
  <c r="AH88" i="2" s="1"/>
  <c r="AD127" i="2"/>
  <c r="AF127" i="2" s="1"/>
  <c r="AH127" i="2" s="1"/>
  <c r="AD89" i="2"/>
  <c r="AF89" i="2" s="1"/>
  <c r="AH89" i="2" s="1"/>
  <c r="AD78" i="2"/>
  <c r="AF78" i="2" s="1"/>
  <c r="AH78" i="2" s="1"/>
  <c r="AD23" i="2"/>
  <c r="AF23" i="2" s="1"/>
  <c r="AH23" i="2" s="1"/>
  <c r="AD150" i="2"/>
  <c r="AF150" i="2" s="1"/>
  <c r="AH150" i="2" s="1"/>
  <c r="AD38" i="2"/>
  <c r="AF38" i="2" s="1"/>
  <c r="AH38" i="2" s="1"/>
  <c r="AD190" i="2"/>
  <c r="AF190" i="2" s="1"/>
  <c r="AH190" i="2" s="1"/>
  <c r="AD47" i="2"/>
  <c r="AF47" i="2" s="1"/>
  <c r="AH47" i="2" s="1"/>
  <c r="AD80" i="2"/>
  <c r="AF80" i="2" s="1"/>
  <c r="AH80" i="2" s="1"/>
  <c r="AD159" i="2"/>
  <c r="AF159" i="2" s="1"/>
  <c r="AH159" i="2" s="1"/>
  <c r="AD16" i="2"/>
  <c r="AF16" i="2" s="1"/>
  <c r="AH16" i="2" s="1"/>
  <c r="AD33" i="2"/>
  <c r="AF33" i="2" s="1"/>
  <c r="AH33" i="2" s="1"/>
  <c r="AD21" i="2"/>
  <c r="AF21" i="2" s="1"/>
  <c r="AH21" i="2" s="1"/>
  <c r="AD143" i="2"/>
  <c r="AF143" i="2" s="1"/>
  <c r="AH143" i="2" s="1"/>
  <c r="O76" i="2"/>
  <c r="N76" i="2"/>
  <c r="O51" i="2"/>
  <c r="N51" i="2"/>
  <c r="O53" i="2"/>
  <c r="N53" i="2"/>
  <c r="O26" i="2"/>
  <c r="N26" i="2"/>
  <c r="O2" i="2"/>
  <c r="N2" i="2"/>
  <c r="O50" i="2"/>
  <c r="N50" i="2"/>
  <c r="N3" i="2"/>
  <c r="O3" i="2"/>
  <c r="N29" i="2"/>
  <c r="O29" i="2"/>
  <c r="O5" i="2"/>
  <c r="N5" i="2"/>
  <c r="O75" i="2"/>
  <c r="N75" i="2"/>
  <c r="O83" i="2"/>
  <c r="N83" i="2"/>
  <c r="O74" i="2"/>
  <c r="N74" i="2"/>
  <c r="N77" i="2"/>
  <c r="O77" i="2"/>
  <c r="O130" i="2"/>
  <c r="N130" i="2"/>
  <c r="O13" i="2"/>
  <c r="N13" i="2"/>
  <c r="O27" i="2"/>
  <c r="N27" i="2"/>
  <c r="M36" i="2"/>
  <c r="T36" i="2" s="1"/>
  <c r="M171" i="2"/>
  <c r="M178" i="2"/>
  <c r="M34" i="2"/>
  <c r="T34" i="2" s="1"/>
  <c r="M107" i="2"/>
  <c r="T107" i="2" s="1"/>
  <c r="M100" i="2"/>
  <c r="T100" i="2" s="1"/>
  <c r="M37" i="2"/>
  <c r="T37" i="2" s="1"/>
  <c r="M35" i="2"/>
  <c r="T35" i="2" s="1"/>
  <c r="M157" i="2"/>
  <c r="T157" i="2" s="1"/>
  <c r="M180" i="2"/>
  <c r="M52" i="2"/>
  <c r="T52" i="2" s="1"/>
  <c r="M173" i="2"/>
  <c r="M109" i="2"/>
  <c r="T109" i="2" s="1"/>
  <c r="M156" i="2"/>
  <c r="T156" i="2" s="1"/>
  <c r="M147" i="2"/>
  <c r="T147" i="2" s="1"/>
  <c r="M10" i="2"/>
  <c r="T10" i="2" s="1"/>
  <c r="M60" i="2"/>
  <c r="T60" i="2" s="1"/>
  <c r="M99" i="2"/>
  <c r="T99" i="2" s="1"/>
  <c r="M148" i="2"/>
  <c r="T148" i="2" s="1"/>
  <c r="M122" i="2"/>
  <c r="T122" i="2" s="1"/>
  <c r="M59" i="2"/>
  <c r="T59" i="2" s="1"/>
  <c r="M11" i="2"/>
  <c r="T11" i="2" s="1"/>
  <c r="M98" i="2"/>
  <c r="T98" i="2" s="1"/>
  <c r="M131" i="2"/>
  <c r="T131" i="2" s="1"/>
  <c r="M149" i="2"/>
  <c r="T149" i="2" s="1"/>
  <c r="M155" i="2"/>
  <c r="T155" i="2" s="1"/>
  <c r="M101" i="2"/>
  <c r="T101" i="2" s="1"/>
  <c r="M28" i="2"/>
  <c r="T28" i="2" s="1"/>
  <c r="M108" i="2"/>
  <c r="T108" i="2" s="1"/>
  <c r="M132" i="2"/>
  <c r="T132" i="2" s="1"/>
  <c r="M58" i="2"/>
  <c r="T58" i="2" s="1"/>
  <c r="M4" i="2"/>
  <c r="T4" i="2" s="1"/>
  <c r="M82" i="2"/>
  <c r="M85" i="2"/>
  <c r="M12" i="2"/>
  <c r="T12" i="2" s="1"/>
  <c r="M179" i="2"/>
  <c r="M146" i="2"/>
  <c r="T146" i="2" s="1"/>
  <c r="M133" i="2"/>
  <c r="T133" i="2" s="1"/>
  <c r="M123" i="2"/>
  <c r="T123" i="2" s="1"/>
  <c r="M84" i="2"/>
  <c r="M106" i="2"/>
  <c r="T106" i="2" s="1"/>
  <c r="M154" i="2"/>
  <c r="T154" i="2" s="1"/>
  <c r="M61" i="2"/>
  <c r="T61" i="2" s="1"/>
  <c r="M172" i="2"/>
  <c r="M124" i="2"/>
  <c r="T124" i="2" s="1"/>
  <c r="M181" i="2"/>
  <c r="M170" i="2"/>
  <c r="M125" i="2"/>
  <c r="T125" i="2" s="1"/>
  <c r="Q124" i="2" l="1"/>
  <c r="X124" i="2" s="1"/>
  <c r="Y124" i="2" s="1"/>
  <c r="Z124" i="2"/>
  <c r="Z59" i="2"/>
  <c r="Q59" i="2"/>
  <c r="X59" i="2" s="1"/>
  <c r="Y59" i="2" s="1"/>
  <c r="Z157" i="2"/>
  <c r="Q157" i="2"/>
  <c r="X157" i="2" s="1"/>
  <c r="Y157" i="2" s="1"/>
  <c r="Z37" i="2"/>
  <c r="Q37" i="2"/>
  <c r="X37" i="2" s="1"/>
  <c r="Y37" i="2" s="1"/>
  <c r="Q99" i="2"/>
  <c r="X99" i="2" s="1"/>
  <c r="Y99" i="2" s="1"/>
  <c r="Z99" i="2"/>
  <c r="Q100" i="2"/>
  <c r="X100" i="2" s="1"/>
  <c r="Y100" i="2" s="1"/>
  <c r="Z100" i="2"/>
  <c r="Q4" i="2"/>
  <c r="X4" i="2" s="1"/>
  <c r="Y4" i="2" s="1"/>
  <c r="Z4" i="2"/>
  <c r="Q148" i="2"/>
  <c r="X148" i="2" s="1"/>
  <c r="Y148" i="2" s="1"/>
  <c r="Z148" i="2"/>
  <c r="Z132" i="2"/>
  <c r="Q132" i="2"/>
  <c r="X132" i="2" s="1"/>
  <c r="Y132" i="2" s="1"/>
  <c r="Z106" i="2"/>
  <c r="Q106" i="2"/>
  <c r="X106" i="2" s="1"/>
  <c r="Y106" i="2" s="1"/>
  <c r="Z35" i="2"/>
  <c r="Q35" i="2"/>
  <c r="X35" i="2" s="1"/>
  <c r="Y35" i="2" s="1"/>
  <c r="Z61" i="2"/>
  <c r="Q61" i="2"/>
  <c r="X61" i="2" s="1"/>
  <c r="Y61" i="2" s="1"/>
  <c r="Z154" i="2"/>
  <c r="Q154" i="2"/>
  <c r="X154" i="2" s="1"/>
  <c r="Y154" i="2" s="1"/>
  <c r="Z108" i="2"/>
  <c r="Q108" i="2"/>
  <c r="X108" i="2" s="1"/>
  <c r="Y108" i="2" s="1"/>
  <c r="Z60" i="2"/>
  <c r="Q60" i="2"/>
  <c r="X60" i="2" s="1"/>
  <c r="Y60" i="2" s="1"/>
  <c r="Z107" i="2"/>
  <c r="Q107" i="2"/>
  <c r="X107" i="2" s="1"/>
  <c r="Y107" i="2" s="1"/>
  <c r="Q28" i="2"/>
  <c r="X28" i="2" s="1"/>
  <c r="Y28" i="2" s="1"/>
  <c r="Z28" i="2"/>
  <c r="Z10" i="2"/>
  <c r="Q10" i="2"/>
  <c r="X10" i="2" s="1"/>
  <c r="Y10" i="2" s="1"/>
  <c r="Z34" i="2"/>
  <c r="Q34" i="2"/>
  <c r="X34" i="2" s="1"/>
  <c r="Y34" i="2" s="1"/>
  <c r="Q101" i="2"/>
  <c r="X101" i="2" s="1"/>
  <c r="Y101" i="2" s="1"/>
  <c r="Z101" i="2"/>
  <c r="Z133" i="2"/>
  <c r="Q133" i="2"/>
  <c r="X133" i="2" s="1"/>
  <c r="Y133" i="2" s="1"/>
  <c r="Z155" i="2"/>
  <c r="Q155" i="2"/>
  <c r="X155" i="2" s="1"/>
  <c r="Y155" i="2" s="1"/>
  <c r="Z156" i="2"/>
  <c r="Q156" i="2"/>
  <c r="X156" i="2" s="1"/>
  <c r="Y156" i="2" s="1"/>
  <c r="Z58" i="2"/>
  <c r="Q58" i="2"/>
  <c r="X58" i="2" s="1"/>
  <c r="Y58" i="2" s="1"/>
  <c r="Q146" i="2"/>
  <c r="X146" i="2" s="1"/>
  <c r="Y146" i="2" s="1"/>
  <c r="Z146" i="2"/>
  <c r="Q149" i="2"/>
  <c r="X149" i="2" s="1"/>
  <c r="Y149" i="2" s="1"/>
  <c r="Z149" i="2"/>
  <c r="Z109" i="2"/>
  <c r="Q109" i="2"/>
  <c r="X109" i="2" s="1"/>
  <c r="Y109" i="2" s="1"/>
  <c r="Z36" i="2"/>
  <c r="Q36" i="2"/>
  <c r="X36" i="2" s="1"/>
  <c r="Y36" i="2" s="1"/>
  <c r="Z147" i="2"/>
  <c r="Q147" i="2"/>
  <c r="X147" i="2" s="1"/>
  <c r="Y147" i="2" s="1"/>
  <c r="Q123" i="2"/>
  <c r="X123" i="2" s="1"/>
  <c r="Y123" i="2" s="1"/>
  <c r="Z123" i="2"/>
  <c r="Q125" i="2"/>
  <c r="X125" i="2" s="1"/>
  <c r="Y125" i="2" s="1"/>
  <c r="Z125" i="2"/>
  <c r="Q122" i="2"/>
  <c r="X122" i="2" s="1"/>
  <c r="Y122" i="2" s="1"/>
  <c r="Z122" i="2"/>
  <c r="Z131" i="2"/>
  <c r="Q131" i="2"/>
  <c r="X131" i="2" s="1"/>
  <c r="Y131" i="2" s="1"/>
  <c r="Z12" i="2"/>
  <c r="Q12" i="2"/>
  <c r="X12" i="2" s="1"/>
  <c r="Y12" i="2" s="1"/>
  <c r="Q98" i="2"/>
  <c r="X98" i="2" s="1"/>
  <c r="Y98" i="2" s="1"/>
  <c r="Z98" i="2"/>
  <c r="Q52" i="2"/>
  <c r="X52" i="2" s="1"/>
  <c r="Y52" i="2" s="1"/>
  <c r="Z52" i="2"/>
  <c r="Z11" i="2"/>
  <c r="Q11" i="2"/>
  <c r="X11" i="2" s="1"/>
  <c r="Y11" i="2" s="1"/>
  <c r="AA5" i="2"/>
  <c r="AB2" i="2"/>
  <c r="AA27" i="2"/>
  <c r="AA51" i="2"/>
  <c r="O98" i="2"/>
  <c r="N98" i="2"/>
  <c r="AC51" i="2"/>
  <c r="AE51" i="2" s="1"/>
  <c r="N82" i="2"/>
  <c r="O82" i="2"/>
  <c r="O35" i="2"/>
  <c r="N35" i="2"/>
  <c r="O37" i="2"/>
  <c r="N37" i="2"/>
  <c r="O124" i="2"/>
  <c r="N124" i="2"/>
  <c r="O85" i="2"/>
  <c r="N85" i="2"/>
  <c r="O131" i="2"/>
  <c r="N131" i="2"/>
  <c r="O173" i="2"/>
  <c r="N173" i="2"/>
  <c r="N171" i="2"/>
  <c r="O171" i="2"/>
  <c r="O61" i="2"/>
  <c r="N61" i="2"/>
  <c r="O4" i="2"/>
  <c r="N4" i="2"/>
  <c r="N59" i="2"/>
  <c r="O59" i="2"/>
  <c r="O157" i="2"/>
  <c r="N157" i="2"/>
  <c r="AC13" i="2"/>
  <c r="AE13" i="2" s="1"/>
  <c r="AB13" i="2"/>
  <c r="N154" i="2"/>
  <c r="O154" i="2"/>
  <c r="O58" i="2"/>
  <c r="N58" i="2"/>
  <c r="O122" i="2"/>
  <c r="N122" i="2"/>
  <c r="AC50" i="2"/>
  <c r="AE50" i="2" s="1"/>
  <c r="AB50" i="2"/>
  <c r="O11" i="2"/>
  <c r="N11" i="2"/>
  <c r="AC2" i="2"/>
  <c r="AE2" i="2" s="1"/>
  <c r="AC76" i="2"/>
  <c r="AE76" i="2" s="1"/>
  <c r="O172" i="2"/>
  <c r="N172" i="2"/>
  <c r="N148" i="2"/>
  <c r="O148" i="2"/>
  <c r="AC5" i="2"/>
  <c r="AE5" i="2" s="1"/>
  <c r="AC130" i="2"/>
  <c r="AE130" i="2" s="1"/>
  <c r="AB130" i="2"/>
  <c r="O36" i="2"/>
  <c r="N36" i="2"/>
  <c r="O132" i="2"/>
  <c r="N132" i="2"/>
  <c r="AB3" i="2"/>
  <c r="AC3" i="2"/>
  <c r="AE3" i="2" s="1"/>
  <c r="N133" i="2"/>
  <c r="O133" i="2"/>
  <c r="O28" i="2"/>
  <c r="N28" i="2"/>
  <c r="O10" i="2"/>
  <c r="N10" i="2"/>
  <c r="O100" i="2"/>
  <c r="N100" i="2"/>
  <c r="AC83" i="2"/>
  <c r="AE83" i="2" s="1"/>
  <c r="AC74" i="2"/>
  <c r="AE74" i="2" s="1"/>
  <c r="AC29" i="2"/>
  <c r="AE29" i="2" s="1"/>
  <c r="O84" i="2"/>
  <c r="N84" i="2"/>
  <c r="O60" i="2"/>
  <c r="N60" i="2"/>
  <c r="O146" i="2"/>
  <c r="N146" i="2"/>
  <c r="O107" i="2"/>
  <c r="N107" i="2"/>
  <c r="O52" i="2"/>
  <c r="N52" i="2"/>
  <c r="O108" i="2"/>
  <c r="N108" i="2"/>
  <c r="O123" i="2"/>
  <c r="N123" i="2"/>
  <c r="O125" i="2"/>
  <c r="N125" i="2"/>
  <c r="O101" i="2"/>
  <c r="N101" i="2"/>
  <c r="N147" i="2"/>
  <c r="O147" i="2"/>
  <c r="O170" i="2"/>
  <c r="N170" i="2"/>
  <c r="N179" i="2"/>
  <c r="O179" i="2"/>
  <c r="N155" i="2"/>
  <c r="O155" i="2"/>
  <c r="O156" i="2"/>
  <c r="N156" i="2"/>
  <c r="O34" i="2"/>
  <c r="N34" i="2"/>
  <c r="AB27" i="2"/>
  <c r="AC27" i="2"/>
  <c r="AE27" i="2" s="1"/>
  <c r="AC75" i="2"/>
  <c r="AE75" i="2" s="1"/>
  <c r="AA26" i="2"/>
  <c r="O180" i="2"/>
  <c r="N180" i="2"/>
  <c r="O106" i="2"/>
  <c r="N106" i="2"/>
  <c r="O99" i="2"/>
  <c r="N99" i="2"/>
  <c r="O181" i="2"/>
  <c r="N181" i="2"/>
  <c r="O12" i="2"/>
  <c r="N12" i="2"/>
  <c r="O149" i="2"/>
  <c r="N149" i="2"/>
  <c r="O109" i="2"/>
  <c r="N109" i="2"/>
  <c r="O178" i="2"/>
  <c r="N178" i="2"/>
  <c r="AC77" i="2"/>
  <c r="AE77" i="2" s="1"/>
  <c r="AC26" i="2"/>
  <c r="AE26" i="2" s="1"/>
  <c r="AB26" i="2"/>
  <c r="AC53" i="2"/>
  <c r="AE53" i="2" s="1"/>
  <c r="AC10" i="2" l="1"/>
  <c r="AE10" i="2" s="1"/>
  <c r="AB11" i="2"/>
  <c r="AB12" i="2"/>
  <c r="AB10" i="2"/>
  <c r="AB106" i="2"/>
  <c r="AB99" i="2"/>
  <c r="AA35" i="2"/>
  <c r="AB5" i="2"/>
  <c r="AD5" i="2" s="1"/>
  <c r="AF5" i="2" s="1"/>
  <c r="AH5" i="2" s="1"/>
  <c r="AD27" i="2"/>
  <c r="AF27" i="2" s="1"/>
  <c r="AH27" i="2" s="1"/>
  <c r="AA34" i="2"/>
  <c r="AA52" i="2"/>
  <c r="AB51" i="2"/>
  <c r="AD51" i="2" s="1"/>
  <c r="AF51" i="2" s="1"/>
  <c r="AH51" i="2" s="1"/>
  <c r="AA156" i="2"/>
  <c r="AA50" i="2"/>
  <c r="AD50" i="2" s="1"/>
  <c r="AF50" i="2" s="1"/>
  <c r="AH50" i="2" s="1"/>
  <c r="AA36" i="2"/>
  <c r="AA132" i="2"/>
  <c r="AA2" i="2"/>
  <c r="AD2" i="2" s="1"/>
  <c r="AF2" i="2" s="1"/>
  <c r="AA122" i="2"/>
  <c r="AB60" i="2"/>
  <c r="AA3" i="2"/>
  <c r="AD3" i="2" s="1"/>
  <c r="AF3" i="2" s="1"/>
  <c r="AH3" i="2" s="1"/>
  <c r="AA13" i="2"/>
  <c r="AD13" i="2" s="1"/>
  <c r="AF13" i="2" s="1"/>
  <c r="AH13" i="2" s="1"/>
  <c r="AC12" i="2"/>
  <c r="AE12" i="2" s="1"/>
  <c r="AC59" i="2"/>
  <c r="AE59" i="2" s="1"/>
  <c r="AD26" i="2"/>
  <c r="AF26" i="2" s="1"/>
  <c r="AH26" i="2" s="1"/>
  <c r="AA155" i="2"/>
  <c r="AC4" i="2"/>
  <c r="AE4" i="2" s="1"/>
  <c r="AB4" i="2"/>
  <c r="AC181" i="2"/>
  <c r="AE181" i="2" s="1"/>
  <c r="AC124" i="2"/>
  <c r="AE124" i="2" s="1"/>
  <c r="AB124" i="2"/>
  <c r="AC52" i="2"/>
  <c r="AE52" i="2" s="1"/>
  <c r="AB52" i="2"/>
  <c r="AC60" i="2"/>
  <c r="AE60" i="2" s="1"/>
  <c r="AC131" i="2"/>
  <c r="AE131" i="2" s="1"/>
  <c r="AB131" i="2"/>
  <c r="AA61" i="2"/>
  <c r="AA149" i="2"/>
  <c r="AB149" i="2"/>
  <c r="AC11" i="2"/>
  <c r="AE11" i="2" s="1"/>
  <c r="AC82" i="2"/>
  <c r="AE82" i="2" s="1"/>
  <c r="AC99" i="2"/>
  <c r="AE99" i="2" s="1"/>
  <c r="AC84" i="2"/>
  <c r="AE84" i="2" s="1"/>
  <c r="AB157" i="2"/>
  <c r="AC98" i="2"/>
  <c r="AE98" i="2" s="1"/>
  <c r="AB98" i="2"/>
  <c r="AC85" i="2"/>
  <c r="AE85" i="2" s="1"/>
  <c r="AB61" i="2"/>
  <c r="AC61" i="2"/>
  <c r="AE61" i="2" s="1"/>
  <c r="AC148" i="2"/>
  <c r="AE148" i="2" s="1"/>
  <c r="AB148" i="2"/>
  <c r="AC34" i="2"/>
  <c r="AE34" i="2" s="1"/>
  <c r="AB34" i="2"/>
  <c r="AA29" i="2"/>
  <c r="AB29" i="2"/>
  <c r="AB36" i="2"/>
  <c r="AC36" i="2"/>
  <c r="AE36" i="2" s="1"/>
  <c r="AC122" i="2"/>
  <c r="AE122" i="2" s="1"/>
  <c r="AB122" i="2"/>
  <c r="AC178" i="2"/>
  <c r="AE178" i="2" s="1"/>
  <c r="AC58" i="2"/>
  <c r="AE58" i="2" s="1"/>
  <c r="AC156" i="2"/>
  <c r="AE156" i="2" s="1"/>
  <c r="AB156" i="2"/>
  <c r="AC125" i="2"/>
  <c r="AE125" i="2" s="1"/>
  <c r="AC106" i="2"/>
  <c r="AE106" i="2" s="1"/>
  <c r="AC108" i="2"/>
  <c r="AE108" i="2" s="1"/>
  <c r="AB108" i="2"/>
  <c r="AC155" i="2"/>
  <c r="AE155" i="2" s="1"/>
  <c r="AB155" i="2"/>
  <c r="AB132" i="2"/>
  <c r="AC132" i="2"/>
  <c r="AE132" i="2" s="1"/>
  <c r="AA28" i="2"/>
  <c r="AC172" i="2"/>
  <c r="AE172" i="2" s="1"/>
  <c r="AC180" i="2"/>
  <c r="AE180" i="2" s="1"/>
  <c r="AC179" i="2"/>
  <c r="AE179" i="2" s="1"/>
  <c r="AA53" i="2"/>
  <c r="AB53" i="2"/>
  <c r="AB28" i="2"/>
  <c r="AC28" i="2"/>
  <c r="AE28" i="2" s="1"/>
  <c r="AC157" i="2"/>
  <c r="AE157" i="2" s="1"/>
  <c r="AC171" i="2"/>
  <c r="AE171" i="2" s="1"/>
  <c r="AA125" i="2"/>
  <c r="AB125" i="2"/>
  <c r="AC149" i="2"/>
  <c r="AE149" i="2" s="1"/>
  <c r="AC133" i="2"/>
  <c r="AE133" i="2" s="1"/>
  <c r="AB133" i="2"/>
  <c r="AB59" i="2"/>
  <c r="AA147" i="2"/>
  <c r="AB147" i="2"/>
  <c r="AB100" i="2"/>
  <c r="AC100" i="2"/>
  <c r="AE100" i="2" s="1"/>
  <c r="AA133" i="2"/>
  <c r="AA130" i="2"/>
  <c r="AD130" i="2" s="1"/>
  <c r="AF130" i="2" s="1"/>
  <c r="AH130" i="2" s="1"/>
  <c r="AA59" i="2"/>
  <c r="AC107" i="2"/>
  <c r="AE107" i="2" s="1"/>
  <c r="AB107" i="2"/>
  <c r="AC123" i="2"/>
  <c r="AE123" i="2" s="1"/>
  <c r="AB123" i="2"/>
  <c r="AC170" i="2"/>
  <c r="AE170" i="2" s="1"/>
  <c r="AA146" i="2"/>
  <c r="AC146" i="2"/>
  <c r="AE146" i="2" s="1"/>
  <c r="AB146" i="2"/>
  <c r="AC101" i="2"/>
  <c r="AE101" i="2" s="1"/>
  <c r="AC37" i="2"/>
  <c r="AE37" i="2" s="1"/>
  <c r="AB37" i="2"/>
  <c r="AC173" i="2"/>
  <c r="AE173" i="2" s="1"/>
  <c r="AB58" i="2"/>
  <c r="AC154" i="2"/>
  <c r="AE154" i="2" s="1"/>
  <c r="AB154" i="2"/>
  <c r="AC109" i="2"/>
  <c r="AE109" i="2" s="1"/>
  <c r="AB109" i="2"/>
  <c r="AC147" i="2"/>
  <c r="AE147" i="2" s="1"/>
  <c r="AC35" i="2"/>
  <c r="AE35" i="2" s="1"/>
  <c r="AB35" i="2"/>
  <c r="AA11" i="2" l="1"/>
  <c r="AD11" i="2" s="1"/>
  <c r="AF11" i="2" s="1"/>
  <c r="AH11" i="2" s="1"/>
  <c r="AA12" i="2"/>
  <c r="AD12" i="2" s="1"/>
  <c r="AF12" i="2" s="1"/>
  <c r="AH12" i="2" s="1"/>
  <c r="AA106" i="2"/>
  <c r="AD106" i="2" s="1"/>
  <c r="AF106" i="2" s="1"/>
  <c r="AH106" i="2" s="1"/>
  <c r="AD35" i="2"/>
  <c r="AF35" i="2" s="1"/>
  <c r="AH35" i="2" s="1"/>
  <c r="AD52" i="2"/>
  <c r="AF52" i="2" s="1"/>
  <c r="AH52" i="2" s="1"/>
  <c r="AD34" i="2"/>
  <c r="AF34" i="2" s="1"/>
  <c r="AH34" i="2" s="1"/>
  <c r="AD156" i="2"/>
  <c r="AF156" i="2" s="1"/>
  <c r="AH156" i="2" s="1"/>
  <c r="AD36" i="2"/>
  <c r="AF36" i="2" s="1"/>
  <c r="AH36" i="2" s="1"/>
  <c r="AH2" i="2"/>
  <c r="AD132" i="2"/>
  <c r="AF132" i="2" s="1"/>
  <c r="AH132" i="2" s="1"/>
  <c r="AA60" i="2"/>
  <c r="AD60" i="2" s="1"/>
  <c r="AF60" i="2" s="1"/>
  <c r="AH60" i="2" s="1"/>
  <c r="AA4" i="2"/>
  <c r="AD4" i="2" s="1"/>
  <c r="AF4" i="2" s="1"/>
  <c r="AH4" i="2" s="1"/>
  <c r="AA131" i="2"/>
  <c r="AD131" i="2" s="1"/>
  <c r="AF131" i="2" s="1"/>
  <c r="AH131" i="2" s="1"/>
  <c r="AD59" i="2"/>
  <c r="AF59" i="2" s="1"/>
  <c r="AH59" i="2" s="1"/>
  <c r="AD122" i="2"/>
  <c r="AF122" i="2" s="1"/>
  <c r="AH122" i="2" s="1"/>
  <c r="AD53" i="2"/>
  <c r="AF53" i="2" s="1"/>
  <c r="AH53" i="2" s="1"/>
  <c r="AD149" i="2"/>
  <c r="AF149" i="2" s="1"/>
  <c r="AH149" i="2" s="1"/>
  <c r="AD125" i="2"/>
  <c r="AF125" i="2" s="1"/>
  <c r="AH125" i="2" s="1"/>
  <c r="AD61" i="2"/>
  <c r="AF61" i="2" s="1"/>
  <c r="AH61" i="2" s="1"/>
  <c r="AD155" i="2"/>
  <c r="AF155" i="2" s="1"/>
  <c r="AH155" i="2" s="1"/>
  <c r="AA37" i="2"/>
  <c r="AD37" i="2" s="1"/>
  <c r="AF37" i="2" s="1"/>
  <c r="AH37" i="2" s="1"/>
  <c r="AD133" i="2"/>
  <c r="AF133" i="2" s="1"/>
  <c r="AH133" i="2" s="1"/>
  <c r="AD146" i="2"/>
  <c r="AF146" i="2" s="1"/>
  <c r="AH146" i="2" s="1"/>
  <c r="AD147" i="2"/>
  <c r="AF147" i="2" s="1"/>
  <c r="AH147" i="2" s="1"/>
  <c r="AD28" i="2"/>
  <c r="AF28" i="2" s="1"/>
  <c r="AH28" i="2" s="1"/>
  <c r="AD29" i="2"/>
  <c r="AF29" i="2" s="1"/>
  <c r="AH29" i="2" s="1"/>
  <c r="AA99" i="2"/>
  <c r="AD99" i="2" s="1"/>
  <c r="AF99" i="2" s="1"/>
  <c r="AH99" i="2" s="1"/>
  <c r="AA108" i="2"/>
  <c r="AD108" i="2" s="1"/>
  <c r="AF108" i="2" s="1"/>
  <c r="AH108" i="2" s="1"/>
  <c r="AA58" i="2"/>
  <c r="AD58" i="2" s="1"/>
  <c r="AF58" i="2" s="1"/>
  <c r="AH58" i="2" s="1"/>
  <c r="AA98" i="2"/>
  <c r="AD98" i="2" s="1"/>
  <c r="AF98" i="2" s="1"/>
  <c r="AH98" i="2" s="1"/>
  <c r="AA154" i="2"/>
  <c r="AD154" i="2" s="1"/>
  <c r="AF154" i="2" s="1"/>
  <c r="AH154" i="2" s="1"/>
  <c r="AA157" i="2"/>
  <c r="AD157" i="2" s="1"/>
  <c r="AF157" i="2" s="1"/>
  <c r="AH157" i="2" s="1"/>
  <c r="AA124" i="2"/>
  <c r="AD124" i="2" s="1"/>
  <c r="AF124" i="2" s="1"/>
  <c r="AH124" i="2" s="1"/>
  <c r="AA100" i="2"/>
  <c r="AD100" i="2" s="1"/>
  <c r="AF100" i="2" s="1"/>
  <c r="AH100" i="2" s="1"/>
  <c r="AA109" i="2"/>
  <c r="AD109" i="2" s="1"/>
  <c r="AF109" i="2" s="1"/>
  <c r="AH109" i="2" s="1"/>
  <c r="AA148" i="2"/>
  <c r="AD148" i="2" s="1"/>
  <c r="AF148" i="2" s="1"/>
  <c r="AH148" i="2" s="1"/>
  <c r="AA123" i="2"/>
  <c r="AD123" i="2" s="1"/>
  <c r="AF123" i="2" s="1"/>
  <c r="AH123" i="2" s="1"/>
  <c r="AA10" i="2"/>
  <c r="AD10" i="2" s="1"/>
  <c r="AF10" i="2" s="1"/>
  <c r="AH10" i="2" s="1"/>
  <c r="AA101" i="2"/>
  <c r="AB101" i="2"/>
  <c r="AA107" i="2"/>
  <c r="AD107" i="2" s="1"/>
  <c r="AF107" i="2" s="1"/>
  <c r="AH107" i="2" s="1"/>
  <c r="AA82" i="2"/>
  <c r="AB82" i="2"/>
  <c r="AB178" i="2"/>
  <c r="AA180" i="2"/>
  <c r="AB181" i="2"/>
  <c r="AB179" i="2"/>
  <c r="AB76" i="2"/>
  <c r="AD82" i="2" l="1"/>
  <c r="AF82" i="2" s="1"/>
  <c r="AH82" i="2" s="1"/>
  <c r="AD101" i="2"/>
  <c r="AF101" i="2" s="1"/>
  <c r="AH101" i="2" s="1"/>
  <c r="AA181" i="2"/>
  <c r="AD181" i="2" s="1"/>
  <c r="AF181" i="2" s="1"/>
  <c r="AH181" i="2" s="1"/>
  <c r="AA85" i="2"/>
  <c r="AB85" i="2"/>
  <c r="AB171" i="2"/>
  <c r="AA171" i="2"/>
  <c r="AB77" i="2"/>
  <c r="AA77" i="2"/>
  <c r="AB84" i="2"/>
  <c r="AA84" i="2"/>
  <c r="AB75" i="2"/>
  <c r="AA75" i="2"/>
  <c r="AA74" i="2"/>
  <c r="AB74" i="2"/>
  <c r="AA173" i="2"/>
  <c r="AB173" i="2"/>
  <c r="AA83" i="2"/>
  <c r="AB83" i="2"/>
  <c r="AA179" i="2"/>
  <c r="AD179" i="2" s="1"/>
  <c r="AF179" i="2" s="1"/>
  <c r="AH179" i="2" s="1"/>
  <c r="AA178" i="2"/>
  <c r="AD178" i="2" s="1"/>
  <c r="AF178" i="2" s="1"/>
  <c r="AH178" i="2" s="1"/>
  <c r="AA76" i="2"/>
  <c r="AD76" i="2" s="1"/>
  <c r="AF76" i="2" s="1"/>
  <c r="AH76" i="2" s="1"/>
  <c r="AD77" i="2" l="1"/>
  <c r="AF77" i="2" s="1"/>
  <c r="AH77" i="2" s="1"/>
  <c r="AD84" i="2"/>
  <c r="AF84" i="2" s="1"/>
  <c r="AH84" i="2" s="1"/>
  <c r="AD171" i="2"/>
  <c r="AF171" i="2" s="1"/>
  <c r="AH171" i="2" s="1"/>
  <c r="AD85" i="2"/>
  <c r="AF85" i="2" s="1"/>
  <c r="AH85" i="2" s="1"/>
  <c r="AD83" i="2"/>
  <c r="AF83" i="2" s="1"/>
  <c r="AH83" i="2" s="1"/>
  <c r="AD173" i="2"/>
  <c r="AF173" i="2" s="1"/>
  <c r="AH173" i="2" s="1"/>
  <c r="AD74" i="2"/>
  <c r="AF74" i="2" s="1"/>
  <c r="AD75" i="2"/>
  <c r="AF75" i="2" s="1"/>
  <c r="AH75" i="2" s="1"/>
  <c r="AB180" i="2"/>
  <c r="AD180" i="2" s="1"/>
  <c r="AF180" i="2" s="1"/>
  <c r="AH180" i="2" s="1"/>
  <c r="AB170" i="2"/>
  <c r="AA170" i="2"/>
  <c r="AB172" i="2"/>
  <c r="AA172" i="2"/>
  <c r="AH74" i="2" l="1"/>
  <c r="AD170" i="2"/>
  <c r="AF170" i="2" s="1"/>
  <c r="AH170" i="2" s="1"/>
  <c r="AD172" i="2"/>
  <c r="AF172" i="2" s="1"/>
  <c r="AH172" i="2" s="1"/>
  <c r="I9" i="1" l="1"/>
  <c r="I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<sst xmlns="http://schemas.openxmlformats.org/spreadsheetml/2006/main" count="694" uniqueCount="149">
  <si>
    <t>Probability</t>
  </si>
  <si>
    <t>Activate</t>
  </si>
  <si>
    <t>Fail</t>
  </si>
  <si>
    <t>Extinguish</t>
  </si>
  <si>
    <t>Open</t>
  </si>
  <si>
    <t>Closed</t>
  </si>
  <si>
    <t>sprinkler</t>
  </si>
  <si>
    <t>door_open</t>
  </si>
  <si>
    <t>A</t>
  </si>
  <si>
    <t>Scenario</t>
  </si>
  <si>
    <t>Location</t>
  </si>
  <si>
    <t>Apartment</t>
  </si>
  <si>
    <t>Corridor</t>
  </si>
  <si>
    <t>Sprinkler</t>
  </si>
  <si>
    <t>Control</t>
  </si>
  <si>
    <t>L</t>
  </si>
  <si>
    <t>H</t>
  </si>
  <si>
    <t>source</t>
  </si>
  <si>
    <t>PD 7974</t>
  </si>
  <si>
    <t>frequency of fire statrt</t>
  </si>
  <si>
    <t>fire_location</t>
  </si>
  <si>
    <t>smoke_seal</t>
  </si>
  <si>
    <t>Success</t>
  </si>
  <si>
    <t>fire_frequency</t>
  </si>
  <si>
    <t>No. apartments per floor</t>
  </si>
  <si>
    <t>Other inputs</t>
  </si>
  <si>
    <t>General fire frequency</t>
  </si>
  <si>
    <t>Interconnected alarms?</t>
  </si>
  <si>
    <t>Outputs</t>
  </si>
  <si>
    <t>Number of scenarios</t>
  </si>
  <si>
    <t>Count</t>
  </si>
  <si>
    <t>Corridor fire frequency</t>
  </si>
  <si>
    <t>Apartment fire frequency</t>
  </si>
  <si>
    <t>manual_suppression</t>
  </si>
  <si>
    <t>smoke_detection_apt</t>
  </si>
  <si>
    <t>smoke_detection_corridor</t>
  </si>
  <si>
    <t>probability_of_scenario</t>
  </si>
  <si>
    <t>Source</t>
  </si>
  <si>
    <t>t_detection</t>
  </si>
  <si>
    <t>Component</t>
  </si>
  <si>
    <t>from model if detection active, if not 15 mins</t>
  </si>
  <si>
    <t>t_notification</t>
  </si>
  <si>
    <t>30 seconds</t>
  </si>
  <si>
    <t>t_pre</t>
  </si>
  <si>
    <t>60 s AFO, 300 remote</t>
  </si>
  <si>
    <t>t_trav</t>
  </si>
  <si>
    <t>apt_travel</t>
  </si>
  <si>
    <t>10 s + corridor length</t>
  </si>
  <si>
    <t>t_flow</t>
  </si>
  <si>
    <t>tbc</t>
  </si>
  <si>
    <t>need to model 1500 s</t>
  </si>
  <si>
    <t>for smoke detection, can use failure detection period in RSET calcs (ie don’t need to model failed smoke detector)</t>
  </si>
  <si>
    <t xml:space="preserve">don’t need to model supressed </t>
  </si>
  <si>
    <t>door open and self closer the same</t>
  </si>
  <si>
    <t>if not smoke seals are provided, assume no door?</t>
  </si>
  <si>
    <t>if they are, model no vent</t>
  </si>
  <si>
    <t>scenarios</t>
  </si>
  <si>
    <t>ASET_scenario</t>
  </si>
  <si>
    <t>Door</t>
  </si>
  <si>
    <t>apt</t>
  </si>
  <si>
    <t>cor</t>
  </si>
  <si>
    <t>control</t>
  </si>
  <si>
    <t>fail</t>
  </si>
  <si>
    <t>open</t>
  </si>
  <si>
    <t>close</t>
  </si>
  <si>
    <t>Scenario name</t>
  </si>
  <si>
    <t>corridor lengths</t>
  </si>
  <si>
    <t>x</t>
  </si>
  <si>
    <t>don’t have to model corridor lenghts here</t>
  </si>
  <si>
    <t>when SOU alarm activates, that SOU evacuates</t>
  </si>
  <si>
    <t>when corridor alarm activates, all SOU evacuates</t>
  </si>
  <si>
    <t>scenario name</t>
  </si>
  <si>
    <t>part</t>
  </si>
  <si>
    <t>supress</t>
  </si>
  <si>
    <t>Corridor_length</t>
  </si>
  <si>
    <t>corridor_2</t>
  </si>
  <si>
    <t>door_2</t>
  </si>
  <si>
    <t>sprinkler_2</t>
  </si>
  <si>
    <t>fire_location_2</t>
  </si>
  <si>
    <t>Scenario_name</t>
  </si>
  <si>
    <t>apt_SD</t>
  </si>
  <si>
    <t>apt_ASET</t>
  </si>
  <si>
    <t>cor_SD</t>
  </si>
  <si>
    <t>cor_ASET</t>
  </si>
  <si>
    <t>apt_SPR</t>
  </si>
  <si>
    <t>cor_SPR</t>
  </si>
  <si>
    <t>NA</t>
  </si>
  <si>
    <t>corridor_length</t>
  </si>
  <si>
    <t>rule</t>
  </si>
  <si>
    <t>COR RSET</t>
  </si>
  <si>
    <t>APT RSET</t>
  </si>
  <si>
    <t>apt_SD, otherwise 15 mins</t>
  </si>
  <si>
    <t>cor_SD, otherwise 15 mins</t>
  </si>
  <si>
    <t>t_not</t>
  </si>
  <si>
    <t>t_det</t>
  </si>
  <si>
    <t>10s + length</t>
  </si>
  <si>
    <t>Corridor length</t>
  </si>
  <si>
    <t>Num</t>
  </si>
  <si>
    <t>B</t>
  </si>
  <si>
    <t>C</t>
  </si>
  <si>
    <t>D</t>
  </si>
  <si>
    <t>E</t>
  </si>
  <si>
    <t>F</t>
  </si>
  <si>
    <t>G</t>
  </si>
  <si>
    <t>I</t>
  </si>
  <si>
    <t>J</t>
  </si>
  <si>
    <t>K</t>
  </si>
  <si>
    <t>door_status</t>
  </si>
  <si>
    <t>Smoke Seals?</t>
  </si>
  <si>
    <t>X</t>
  </si>
  <si>
    <t>Suppress</t>
  </si>
  <si>
    <t>Close</t>
  </si>
  <si>
    <t>Part</t>
  </si>
  <si>
    <t>any</t>
  </si>
  <si>
    <t>Key</t>
  </si>
  <si>
    <t>tnot</t>
  </si>
  <si>
    <t>RSET_scenario</t>
  </si>
  <si>
    <t>SOU</t>
  </si>
  <si>
    <t>ASET_helper1</t>
  </si>
  <si>
    <t>RSET_helper</t>
  </si>
  <si>
    <t>location_length</t>
  </si>
  <si>
    <t>SOU_tdet</t>
  </si>
  <si>
    <t>SOU_tpre</t>
  </si>
  <si>
    <t>SOU_ttrav</t>
  </si>
  <si>
    <t>remote_tdet</t>
  </si>
  <si>
    <t>remote_tpre</t>
  </si>
  <si>
    <t>remote_ttrav</t>
  </si>
  <si>
    <t>SOU_inside_RSET</t>
  </si>
  <si>
    <t>SOU_outside_RSET</t>
  </si>
  <si>
    <t>remote_RSET</t>
  </si>
  <si>
    <t>SOU_inside_ratio</t>
  </si>
  <si>
    <t>SOU_outside_ratio</t>
  </si>
  <si>
    <t>remote_ratio</t>
  </si>
  <si>
    <t>SOU_casualty</t>
  </si>
  <si>
    <t>remote_casualty</t>
  </si>
  <si>
    <t>total_casualty</t>
  </si>
  <si>
    <t>fire_probability</t>
  </si>
  <si>
    <t>risk</t>
  </si>
  <si>
    <t>Average individual risk</t>
  </si>
  <si>
    <t>Sum risk</t>
  </si>
  <si>
    <t>Origin premovement</t>
  </si>
  <si>
    <t>Remote premovement</t>
  </si>
  <si>
    <t>No</t>
  </si>
  <si>
    <t>increase 25%</t>
  </si>
  <si>
    <t>increase 50%</t>
  </si>
  <si>
    <t>increase 100%</t>
  </si>
  <si>
    <t>decrease 25%</t>
  </si>
  <si>
    <t>decrease 50%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</si>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</sst>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9" fontId="0" fillId="0" borderId="0" xfId="0" applyNumberFormat="1"/>
  </cellXfs>
  <cellStyles count="1">
    <cellStyle name="Normal" xfId="0" builtinId="0"/>
  </cellStyles>
  <dxfs count="40">
    <dxf>
      <fill>
        <patternFill>
          <bgColor theme="9" tint="0.399945066682943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9</xdr:row>
          <xdr:rowOff>76200</xdr:rowOff>
        </xdr:from>
        <xdr:to>
          <xdr:col>14</xdr:col>
          <xdr:colOff>333375</xdr:colOff>
          <xdr:row>12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Interconnected alarms 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14</xdr:row>
          <xdr:rowOff>19050</xdr:rowOff>
        </xdr:from>
        <xdr:to>
          <xdr:col>14</xdr:col>
          <xdr:colOff>314325</xdr:colOff>
          <xdr:row>17</xdr:row>
          <xdr:rowOff>76200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Sprinkler 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19</xdr:row>
          <xdr:rowOff>47625</xdr:rowOff>
        </xdr:from>
        <xdr:to>
          <xdr:col>14</xdr:col>
          <xdr:colOff>295275</xdr:colOff>
          <xdr:row>22</xdr:row>
          <xdr:rowOff>114300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Smoke seal 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23</xdr:row>
          <xdr:rowOff>171450</xdr:rowOff>
        </xdr:from>
        <xdr:to>
          <xdr:col>14</xdr:col>
          <xdr:colOff>285750</xdr:colOff>
          <xdr:row>27</xdr:row>
          <xdr:rowOff>66675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SD 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28</xdr:row>
          <xdr:rowOff>95250</xdr:rowOff>
        </xdr:from>
        <xdr:to>
          <xdr:col>14</xdr:col>
          <xdr:colOff>304800</xdr:colOff>
          <xdr:row>32</xdr:row>
          <xdr:rowOff>57150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manual supression 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133350</xdr:rowOff>
    </xdr:from>
    <xdr:to>
      <xdr:col>9</xdr:col>
      <xdr:colOff>277023</xdr:colOff>
      <xdr:row>27</xdr:row>
      <xdr:rowOff>57777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BB6468B-4A40-3130-B55A-D9C06F0EE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4925" y="704850"/>
          <a:ext cx="5715798" cy="4496427"/>
        </a:xfrm>
        <a:prstGeom prst="rect">
          <a:avLst/>
        </a:prstGeom>
      </xdr:spPr>
    </xdr:pic>
    <xdr:clientData/>
  </xdr:twoCellAnchor>
  <xdr:twoCellAnchor editAs="oneCell">
    <xdr:from>
      <xdr:col>9</xdr:col>
      <xdr:colOff>314325</xdr:colOff>
      <xdr:row>2</xdr:row>
      <xdr:rowOff>76200</xdr:rowOff>
    </xdr:from>
    <xdr:to>
      <xdr:col>16</xdr:col>
      <xdr:colOff>542925</xdr:colOff>
      <xdr:row>28</xdr:row>
      <xdr:rowOff>38607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929BDA8-8911-E66D-5ADD-1C6538B92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457200"/>
          <a:ext cx="4495800" cy="491540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33E78B-8E28-4E98-9229-907C4E029A8A}" name="fire_location" displayName="fire_location" ref="B2:C4" totalsRowShown="0">
  <autoFilter ref="B2:C4" xr:uid="{8133E78B-8E28-4E98-9229-907C4E029A8A}"/>
  <tableColumns count="2">
    <tableColumn id="1" xr3:uid="{6FFF1D25-825B-41F8-A98D-1FF40FE2EA99}" name="fire_location"/>
    <tableColumn id="2" xr3:uid="{25340D75-0462-4A47-88CA-4626511E7983}" name="Probabilit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FF52E3-E97F-4522-AD0A-07B458D4B0FC}" name="smoke_detection_apt" displayName="smoke_detection_apt" ref="B6:C8" totalsRowShown="0">
  <autoFilter ref="B6:C8" xr:uid="{F0FF52E3-E97F-4522-AD0A-07B458D4B0FC}"/>
  <tableColumns count="2">
    <tableColumn id="1" xr3:uid="{42481E00-3CE0-4929-9C3C-5A9BF6125426}" name="smoke_detection_apt"/>
    <tableColumn id="2" xr3:uid="{B849B3F0-F94F-40D3-8803-5EF3F604DA75}" name="Probability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86B451-3E35-4A15-83A8-546EF5648E21}" name="sprinkler" displayName="sprinkler" ref="B14:C17" totalsRowShown="0">
  <autoFilter ref="B14:C17" xr:uid="{9E86B451-3E35-4A15-83A8-546EF5648E21}"/>
  <tableColumns count="2">
    <tableColumn id="1" xr3:uid="{B0C9AF87-BA00-46AE-B4D4-5E3FE14B3E9F}" name="sprinkler"/>
    <tableColumn id="2" xr3:uid="{29A204E5-A3B2-4A9A-9143-370751B58E47}" name="Probability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CC6040-F2D7-4211-99F6-712782BF4CF9}" name="manual_suppression" displayName="manual_suppression" ref="B19:C21" totalsRowShown="0">
  <autoFilter ref="B19:C21" xr:uid="{9ECC6040-F2D7-4211-99F6-712782BF4CF9}"/>
  <tableColumns count="2">
    <tableColumn id="1" xr3:uid="{778F3B90-C513-4C59-B68B-740F7D192A6F}" name="manual_suppression"/>
    <tableColumn id="2" xr3:uid="{D164FAB2-8B82-475E-B3CF-1A2065981961}" name="Probability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74CFE1-13ED-4C16-A825-B026CF17021A}" name="door_open" displayName="door_open" ref="B23:C25" totalsRowShown="0">
  <autoFilter ref="B23:C25" xr:uid="{0D74CFE1-13ED-4C16-A825-B026CF17021A}"/>
  <tableColumns count="2">
    <tableColumn id="1" xr3:uid="{C72938C5-2787-47A6-8C65-F87B681705EF}" name="door_open"/>
    <tableColumn id="2" xr3:uid="{06DE4314-D27D-4E6A-8D34-1521EC733EAF}" name="Probability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423B6B-C8C2-41D3-9FE9-729AD18C1629}" name="smoke_seal" displayName="smoke_seal" ref="B28:C30" totalsRowShown="0">
  <autoFilter ref="B28:C30" xr:uid="{74423B6B-C8C2-41D3-9FE9-729AD18C1629}"/>
  <tableColumns count="2">
    <tableColumn id="1" xr3:uid="{371A7D98-97B6-4CDA-B285-22082513D7F9}" name="smoke_seal"/>
    <tableColumn id="2" xr3:uid="{91469645-4E8F-4A1A-881F-8354CDD49F95}" name="Probability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A3BF84-EE24-46BA-A6FF-9FF60880413B}" name="smoke_detection_corridor" displayName="smoke_detection_corridor" ref="B10:C12" totalsRowShown="0">
  <autoFilter ref="B10:C12" xr:uid="{6FA3BF84-EE24-46BA-A6FF-9FF60880413B}"/>
  <tableColumns count="2">
    <tableColumn id="1" xr3:uid="{2579E1C4-5F1C-4FC8-A4A5-ECC832F92527}" name="smoke_detection_corridor"/>
    <tableColumn id="2" xr3:uid="{0F9FF816-4D31-4C0F-A529-A2466CE7112A}" name="Probability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900E81-1474-4AD7-A0BA-454C0F2D5456}" name="corridor_length" displayName="corridor_length" ref="B32:C39" totalsRowShown="0">
  <autoFilter ref="B32:C39" xr:uid="{27900E81-1474-4AD7-A0BA-454C0F2D5456}"/>
  <tableColumns count="2">
    <tableColumn id="1" xr3:uid="{5502B6E5-1C58-4187-B108-C842BAE69E6D}" name="corridor_length"/>
    <tableColumn id="2" xr3:uid="{B6111ED8-41F6-4847-9EC6-B7E8AB02CBD6}" name="Probability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15C07F1-ACA1-480A-9362-E41C067D6467}" name="event_tree" displayName="event_tree" ref="A1:AH193" totalsRowShown="0">
  <autoFilter ref="A1:AH193" xr:uid="{015C07F1-ACA1-480A-9362-E41C067D6467}"/>
  <tableColumns count="34">
    <tableColumn id="1" xr3:uid="{919F0A57-07D3-4D41-96B6-B7611D4CA50D}" name="Scenario"/>
    <tableColumn id="2" xr3:uid="{EE03F617-1B4D-49CA-AD40-428B119B899E}" name="fire_location" dataDxfId="39">
      <calculatedColumnFormula array="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calculatedColumnFormula>
    </tableColumn>
    <tableColumn id="3" xr3:uid="{E06A03C0-70E1-4885-95EA-BA1930114CEC}" name="smoke_detection_apt" dataDxfId="38">
      <calculatedColumnFormula array="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calculatedColumnFormula>
    </tableColumn>
    <tableColumn id="4" xr3:uid="{F6F95E4D-79D8-490A-8053-96BFAC3FD953}" name="smoke_detection_corridor" dataDxfId="37">
      <calculatedColumnFormula array="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calculatedColumnFormula>
    </tableColumn>
    <tableColumn id="5" xr3:uid="{76626BCE-2432-4317-94F8-5DDDDDD3D1B5}" name="sprinkler" dataDxfId="36">
      <calculatedColumnFormula array="1">INDEX(sprinkler[sprinkler],
  1+MOD(QUOTIENT(ROW()-ROW($B$2),
     ROWS(manual_suppression[manual_suppression])*
     ROWS(door_open[door_open])*
     ROWS(smoke_seal[smoke_seal])
  ),
  ROWS(sprinkler[sprinkler]))
)</calculatedColumnFormula>
    </tableColumn>
    <tableColumn id="6" xr3:uid="{90CC40D5-AEF8-453D-9D0A-695AC276BAF1}" name="manual_suppression" dataDxfId="35">
      <calculatedColumnFormula array="1">INDEX(manual_suppression[manual_suppression],
  1+MOD(QUOTIENT(ROW()-ROW($B$2),
     ROWS(door_open[door_open])*
     ROWS(smoke_seal[smoke_seal])
  ),
  ROWS(manual_suppression[manual_suppression]))
)</calculatedColumnFormula>
    </tableColumn>
    <tableColumn id="7" xr3:uid="{A39B511E-5979-4D0F-AE7F-0C7129701B8A}" name="door_open" dataDxfId="34">
      <calculatedColumnFormula array="1">INDEX(door_open[door_open],
  1+MOD(QUOTIENT(ROW()-ROW($B$2),
     ROWS(smoke_seal[smoke_seal])
  ),
  ROWS(door_open[door_open]))
)</calculatedColumnFormula>
    </tableColumn>
    <tableColumn id="9" xr3:uid="{02BFF1A8-854D-43FC-9D43-7C6068E6E31D}" name="smoke_seal" dataDxfId="33">
      <calculatedColumnFormula array="1">INDEX(smoke_seal[smoke_seal],
  1+MOD(ROW()-ROW($B$2), ROWS(smoke_seal[smoke_seal]))
)</calculatedColumnFormula>
    </tableColumn>
    <tableColumn id="13" xr3:uid="{61734BCF-8329-4757-9BBA-76BF585659B5}" name="door_status" dataDxfId="32">
      <calculatedColumnFormula>IF(event_tree[[#This Row],[door_open]]="Open","Open",IF(event_tree[[#This Row],[smoke_seal]]="Success","Close","Part"))</calculatedColumnFormula>
    </tableColumn>
    <tableColumn id="11" xr3:uid="{5CFECE18-5547-4C2C-B387-010E54A37ADE}" name="fire_frequency">
      <calculatedColumnFormula>IF(B2="apartment",Inputs!$I$7,Inputs!$I$6)</calculatedColumnFormula>
    </tableColumn>
    <tableColumn id="12" xr3:uid="{9B7F0EDB-2B60-4293-AA7F-326B844EA79D}" name="probability_of_scenario" dataDxfId="31">
      <calculatedColumnFormula>PRODUCT(
  INDEX(fire_location[Probability],MATCH($B2,fire_location[fire_location],0)),
  INDEX(smoke_detection_apt[Probability],MATCH($C2,smoke_detection_apt[smoke_detection_apt],0)),
  INDEX(smoke_detection_corridor[Probability],MATCH($D2,smoke_detection_corridor[smoke_detection_corridor],0)),
  INDEX(sprinkler[Probability],MATCH($E2,sprinkler[sprinkler],0)),
  INDEX(manual_suppression[Probability],MATCH($F2,manual_suppression[manual_suppression],0)),
  INDEX(door_open[Probability],MATCH($G2,door_open[door_open],0)),
  INDEX(smoke_seal[Probability],MATCH($H2,smoke_seal[smoke_seal],0))
)</calculatedColumnFormula>
    </tableColumn>
    <tableColumn id="10" xr3:uid="{4793A9A1-BF21-4896-81AD-0483B3D99070}" name="ASET_scenario" dataDxfId="30">
      <calculatedColumnFormula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calculatedColumnFormula>
    </tableColumn>
    <tableColumn id="14" xr3:uid="{A6D00148-8C2E-42E6-93AF-89A0533D1F92}" name="ASET_helper1" dataDxfId="29">
      <calculatedColumnFormula>event_tree[[#This Row],[ASET_scenario]]&amp;Inputs!$F$8</calculatedColumnFormula>
    </tableColumn>
    <tableColumn id="15" xr3:uid="{055E3F41-3CD3-48EB-B441-846D648D9ACB}" name="apt_ASET" dataDxfId="28">
      <calculatedColumnFormula>IF(OR(event_tree[[#This Row],[sprinkler]]="Extinguish",event_tree[[#This Row],[manual_suppression]]="Suppress"),"extinguish",_xlfn.XLOOKUP(event_tree[[#This Row],[ASET_helper1]],ASET_data[ASET_helper1],ASET_data[apt_ASET]))</calculatedColumnFormula>
    </tableColumn>
    <tableColumn id="18" xr3:uid="{51A9BD45-B5E3-4490-9B27-F95A6624DC97}" name="cor_ASET" dataDxfId="27">
      <calculatedColumnFormula>IF(OR(event_tree[[#This Row],[sprinkler]]="Extinguish",event_tree[[#This Row],[manual_suppression]]="Suppress"),"extinguish",_xlfn.XLOOKUP(event_tree[[#This Row],[ASET_helper1]],ASET_data[ASET_helper1],ASET_data[cor_ASET]))</calculatedColumnFormula>
    </tableColumn>
    <tableColumn id="33" xr3:uid="{45CD2BEC-8175-40B0-97BF-F99A30B5A85D}" name="location_length" dataDxfId="26">
      <calculatedColumnFormula>event_tree[[#This Row],[fire_location]]&amp;Inputs!$F$8</calculatedColumnFormula>
    </tableColumn>
    <tableColumn id="16" xr3:uid="{4E454C2E-45B4-4F52-93C4-4A648DD852CC}" name="SOU_tdet" dataDxfId="25">
      <calculatedColumnFormula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calculatedColumnFormula>
    </tableColumn>
    <tableColumn id="17" xr3:uid="{4FCF3AAF-EF46-4798-A1ED-E7869E83FF6B}" name="SOU_tpre" dataDxfId="24">
      <calculatedColumnFormula>IF(event_tree[[#This Row],[fire_location]]="Apartment",Inputs!$F$11,Inputs!$F$12)</calculatedColumnFormula>
    </tableColumn>
    <tableColumn id="19" xr3:uid="{E0874BF6-3E13-498A-81AB-F87B2ABFCB4E}" name="SOU_ttrav" dataDxfId="23">
      <calculatedColumnFormula>10+Inputs!$F$8</calculatedColumnFormula>
    </tableColumn>
    <tableColumn id="20" xr3:uid="{9D5366FE-09AF-4B00-9D7E-12767313C6E1}" name="remote_tdet" dataDxfId="22">
      <calculatedColumnFormula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calculatedColumnFormula>
    </tableColumn>
    <tableColumn id="21" xr3:uid="{4C6746CE-52E7-48BD-B512-F59D0161E548}" name="remote_tpre" dataDxfId="21">
      <calculatedColumnFormula>IF(event_tree[[#This Row],[fire_location]]="Apartment",Inputs!$F$12,Inputs!$F$11)</calculatedColumnFormula>
    </tableColumn>
    <tableColumn id="22" xr3:uid="{C0CAC73C-59B9-4B88-B5A4-D1843FEB844E}" name="remote_ttrav" dataDxfId="20">
      <calculatedColumnFormula>10+Inputs!$F$8</calculatedColumnFormula>
    </tableColumn>
    <tableColumn id="24" xr3:uid="{F4211FE9-2143-4FF1-9E24-A5E3D79EDE28}" name="tnot" dataDxfId="19">
      <calculatedColumnFormula>30</calculatedColumnFormula>
    </tableColumn>
    <tableColumn id="25" xr3:uid="{8182B507-7CE1-47DD-A8D4-4D71BE0C6CB2}" name="SOU_inside_RSET" dataDxfId="18">
      <calculatedColumnFormula>IF(event_tree[[#This Row],[ASET_scenario]]="X","extinguish",
   event_tree[[#This Row],[SOU_tdet]] + event_tree[[#This Row],[SOU_tpre]] + event_tree[[#This Row],[tnot]])</calculatedColumnFormula>
    </tableColumn>
    <tableColumn id="30" xr3:uid="{E36CD061-BC52-4D68-A704-FFAA911F5A2F}" name="SOU_outside_RSET" dataDxfId="17">
      <calculatedColumnFormula>IF(event_tree[[#This Row],[ASET_scenario]]="X","extinguish",
   event_tree[[#This Row],[SOU_inside_RSET]] + event_tree[[#This Row],[SOU_ttrav]])</calculatedColumnFormula>
    </tableColumn>
    <tableColumn id="26" xr3:uid="{E5DB6192-D32F-453A-BCA8-C5FF64F59E9F}" name="remote_RSET" dataDxfId="16">
      <calculatedColumnFormula>IF(event_tree[[#This Row],[ASET_scenario]]="X","extinguish",
   event_tree[[#This Row],[remote_tdet]] + event_tree[[#This Row],[remote_tpre]] + event_tree[[#This Row],[remote_ttrav]] + event_tree[[#This Row],[tnot]])</calculatedColumnFormula>
    </tableColumn>
    <tableColumn id="28" xr3:uid="{64B24811-3283-44E0-8BA5-B113FE524381}" name="SOU_inside_ratio" dataDxfId="15">
      <calculatedColumnFormula>IF(event_tree[[#This Row],[ASET_scenario]]="X","extinguish", event_tree[[#This Row],[apt_ASET]]/event_tree[[#This Row],[SOU_inside_RSET]])</calculatedColumnFormula>
    </tableColumn>
    <tableColumn id="31" xr3:uid="{A012C15F-8B80-49F0-8584-9CAEB2578058}" name="SOU_outside_ratio" dataDxfId="14">
      <calculatedColumnFormula>IF(event_tree[[#This Row],[ASET_scenario]]="X","extinguish",event_tree[[#This Row],[cor_ASET]]/event_tree[[#This Row],[SOU_outside_RSET]])</calculatedColumnFormula>
    </tableColumn>
    <tableColumn id="29" xr3:uid="{EF43F2D4-636B-4E6B-B93C-AFB9A43B99FF}" name="remote_ratio" dataDxfId="13">
      <calculatedColumnFormula>IF(event_tree[[#This Row],[ASET_scenario]]="X","extinguish",event_tree[[#This Row],[cor_ASET]]/event_tree[[#This Row],[remote_RSET]])</calculatedColumnFormula>
    </tableColumn>
    <tableColumn id="32" xr3:uid="{FDFAFEC9-3F80-4580-AC47-C30F8C955FC8}" name="SOU_casualty" dataDxfId="12">
      <calculatedColumnFormula>IF(OR(event_tree[[#This Row],[SOU_inside_ratio]]&lt;1,event_tree[[#This Row],[SOU_outside_ratio]]&lt;1),2)</calculatedColumnFormula>
    </tableColumn>
    <tableColumn id="34" xr3:uid="{1FFEC477-B7EF-47FE-91B1-331DBE0B137B}" name="remote_casualty" dataDxfId="11">
      <calculatedColumnFormula>IF(event_tree[[#This Row],[remote_ratio]]&lt;1,2*(Inputs!$F$5-1))</calculatedColumnFormula>
    </tableColumn>
    <tableColumn id="35" xr3:uid="{67A08EA8-E250-4619-AF4D-1CE8EA26DD85}" name="total_casualty" dataDxfId="10">
      <calculatedColumnFormula>event_tree[[#This Row],[SOU_casualty]]+event_tree[[#This Row],[remote_casualty]]</calculatedColumnFormula>
    </tableColumn>
    <tableColumn id="36" xr3:uid="{BC56A9B8-B4E5-4061-91CF-21237F6996F2}" name="fire_probability" dataDxfId="9">
      <calculatedColumnFormula>event_tree[[#This Row],[fire_frequency]]*event_tree[[#This Row],[probability_of_scenario]]</calculatedColumnFormula>
    </tableColumn>
    <tableColumn id="37" xr3:uid="{7BBB8A5D-47E8-4C10-88B5-366F2D19E535}" name="risk" dataDxfId="8">
      <calculatedColumnFormula>event_tree[[#This Row],[total_casualty]]*event_tree[[#This Row],[fire_probability]]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52C69B-ED13-490F-BD73-A2807E618636}" name="ASET_data" displayName="ASET_data" ref="A1:P85" totalsRowShown="0">
  <autoFilter ref="A1:P85" xr:uid="{6852C69B-ED13-490F-BD73-A2807E618636}"/>
  <tableColumns count="16">
    <tableColumn id="1" xr3:uid="{76C2EF6C-4144-4D7A-B54E-D7FABAB330A5}" name="Num"/>
    <tableColumn id="13" xr3:uid="{28C317EF-4F2F-40FB-864A-8FDFC97F0339}" name="ASET_scenario"/>
    <tableColumn id="14" xr3:uid="{4020A211-DCAD-4574-B911-CFFC5A4D2A8C}" name="ASET_helper1" dataDxfId="7">
      <calculatedColumnFormula>ASET_data[[#This Row],[ASET_scenario]]&amp;ASET_data[[#This Row],[Corridor_length]]</calculatedColumnFormula>
    </tableColumn>
    <tableColumn id="2" xr3:uid="{A230EF6F-48CB-43D4-B891-1EEC060B6E28}" name="Location">
      <calculatedColumnFormula array="1">INDEX(fire_location_2[fire_location_2],
  MOD(INT((ROW()-ROW($D$2)) / (ROWS(sprinkler_2[sprinkler_2])*ROWS(door_2[door_2])*ROWS(corridor_2[corridor_2]))),
  ROWS(fire_location_2[fire_location_2])) + 1)</calculatedColumnFormula>
    </tableColumn>
    <tableColumn id="3" xr3:uid="{C3806BF1-9C2B-4698-ABC8-26EA8B3A954B}" name="Sprinkler">
      <calculatedColumnFormula array="1">INDEX(sprinkler_2[sprinkler_2],
  MOD(INT((ROW()-ROW($D$2)) / (ROWS(door_2[door_2])*ROWS(corridor_2[corridor_2]))),
  ROWS(sprinkler_2[sprinkler_2])) + 1)</calculatedColumnFormula>
    </tableColumn>
    <tableColumn id="4" xr3:uid="{2FE9DC05-56B0-4898-95DD-442E004F0206}" name="Door">
      <calculatedColumnFormula array="1">INDEX(door_2[door_2],
  MOD(INT((ROW()-ROW($D$2)) / ROWS(corridor_2[corridor_2])),
  ROWS(door_2[door_2])) + 1)</calculatedColumnFormula>
    </tableColumn>
    <tableColumn id="5" xr3:uid="{ACEA6096-36A5-4931-B028-D0C5F4411F5F}" name="Corridor_length">
      <calculatedColumnFormula array="1">INDEX(corridor_2[corridor_2],
  MOD(ROW()-ROW($D$2), ROWS(corridor_2[corridor_2])) + 1)</calculatedColumnFormula>
    </tableColumn>
    <tableColumn id="16" xr3:uid="{4BB825B0-F29C-4B4D-8110-98C192B367D0}" name="location_length" dataDxfId="6">
      <calculatedColumnFormula>ASET_data[[#This Row],[Location]]&amp;ASET_data[[#This Row],[Corridor_length]]</calculatedColumnFormula>
    </tableColumn>
    <tableColumn id="17" xr3:uid="{3822D17F-535B-4936-A569-9570D52FB0AF}" name="RSET_helper" dataDxfId="5">
      <calculatedColumnFormula>_xlfn.XLOOKUP(ASET_data[[#This Row],[location_length]],RSET_lookup[location_length],RSET_lookup[RSET_helper])</calculatedColumnFormula>
    </tableColumn>
    <tableColumn id="6" xr3:uid="{77EB4B7D-E29E-4F30-8145-15317BF361D5}" name="Scenario_name">
      <calculatedColumnFormula>_xlfn.TEXTJOIN("_",TRUE,D2,E2,F2,G2)</calculatedColumnFormula>
    </tableColumn>
    <tableColumn id="7" xr3:uid="{A9913166-F1A9-40F0-984C-41D72448DB94}" name="apt_SD"/>
    <tableColumn id="8" xr3:uid="{1D470F13-E9AF-484F-99B8-BAD108E78394}" name="apt_SPR"/>
    <tableColumn id="9" xr3:uid="{EFF61811-BE06-497C-8BB9-A62D6A6FC159}" name="apt_ASET" dataDxfId="4">
      <calculatedColumnFormula>R2</calculatedColumnFormula>
    </tableColumn>
    <tableColumn id="10" xr3:uid="{5A16C112-5DAB-4A28-87A5-E3D040A0C28D}" name="cor_SD"/>
    <tableColumn id="11" xr3:uid="{5F48903E-D5F9-453F-8AC2-ED67AA49BA34}" name="cor_SPR"/>
    <tableColumn id="12" xr3:uid="{8CA76BBC-88EF-408B-A840-0F1C5152CB69}" name="cor_ASET" dataDxfId="3">
      <calculatedColumnFormula>S2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EE93414-DF5F-452A-BDAD-2499BF1F0E67}" name="fire_location_2" displayName="fire_location_2" ref="C3:C5" totalsRowShown="0">
  <autoFilter ref="C3:C5" xr:uid="{EEE93414-DF5F-452A-BDAD-2499BF1F0E67}"/>
  <tableColumns count="1">
    <tableColumn id="1" xr3:uid="{662254B2-DADD-4F40-9882-2121F843D49B}" name="fire_location_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14132DF-2BA3-4E97-9F3D-EB558528C0A4}" name="sprinkler_2" displayName="sprinkler_2" ref="C12:C14" totalsRowShown="0">
  <autoFilter ref="C12:C14" xr:uid="{D14132DF-2BA3-4E97-9F3D-EB558528C0A4}"/>
  <tableColumns count="1">
    <tableColumn id="1" xr3:uid="{67CA439A-6501-47B3-AF01-2DE09469424B}" name="sprinkler_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A61730F-D6F6-48CF-B664-B6569804ACFF}" name="door_2" displayName="door_2" ref="C21:C24" totalsRowShown="0">
  <autoFilter ref="C21:C24" xr:uid="{2A61730F-D6F6-48CF-B664-B6569804ACFF}"/>
  <tableColumns count="1">
    <tableColumn id="1" xr3:uid="{AA48429F-30B2-490D-B21B-CCA1EF9494C1}" name="door_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B45A00-68F1-4AA2-A123-C1CB800334CA}" name="corridor_2" displayName="corridor_2" ref="C26:C33" totalsRowShown="0">
  <autoFilter ref="C26:C33" xr:uid="{B9B45A00-68F1-4AA2-A123-C1CB800334CA}"/>
  <tableColumns count="1">
    <tableColumn id="1" xr3:uid="{AD4A0BBA-D646-4E8A-A235-21E6A36DF7B4}" name="corridor_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09A1B3-E4B6-4004-8A76-AF03A0AC56C9}" name="ASET_lookup" displayName="ASET_lookup" ref="T35:X48" totalsRowShown="0">
  <autoFilter ref="T35:X48" xr:uid="{2F09A1B3-E4B6-4004-8A76-AF03A0AC56C9}"/>
  <tableColumns count="5">
    <tableColumn id="1" xr3:uid="{D17350E0-D203-4EA4-8A51-852560560B98}" name="ASET_scenario"/>
    <tableColumn id="2" xr3:uid="{C2D39215-B537-4062-AA1D-8505AA60057D}" name="Location"/>
    <tableColumn id="3" xr3:uid="{35B27663-FEF2-4AEB-8DCC-2A3AE6D96547}" name="Sprinkler"/>
    <tableColumn id="4" xr3:uid="{656520FD-603B-4FBC-8F6D-82B103112C23}" name="Door"/>
    <tableColumn id="5" xr3:uid="{0ECDB388-8B2E-44B8-9213-8E5E7CA66DBE}" name="Key">
      <calculatedColumnFormula>ASET_lookup[[#This Row],[Location]] &amp; "-" &amp; ASET_lookup[[#This Row],[Sprinkler]] &amp; "-" &amp; ASET_lookup[[#This Row],[Door]]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B9D9CE8-473D-4003-910F-7EF0B7A15DB0}" name="RSET_lookup" displayName="RSET_lookup" ref="A34:H90" totalsRowShown="0">
  <autoFilter ref="A34:H90" xr:uid="{3B9D9CE8-473D-4003-910F-7EF0B7A15DB0}"/>
  <tableColumns count="8">
    <tableColumn id="1" xr3:uid="{421B45F5-9AC0-4F0D-848A-035F4443A4DC}" name="Num"/>
    <tableColumn id="2" xr3:uid="{3AABF12A-7330-408D-B8C4-31E5C5BCDE90}" name="RSET_scenario"/>
    <tableColumn id="3" xr3:uid="{2FF6CE78-F369-4066-A251-F8D7C22D4299}" name="Corridor_length"/>
    <tableColumn id="13" xr3:uid="{8DD3C676-33FC-4B43-96B7-9F19D122F323}" name="RSET_helper" dataDxfId="2">
      <calculatedColumnFormula>RSET_lookup[[#This Row],[RSET_scenario]]&amp;RSET_lookup[[#This Row],[Corridor_length]]</calculatedColumnFormula>
    </tableColumn>
    <tableColumn id="4" xr3:uid="{F720C5D6-27B1-4638-9307-22E15D84B846}" name="Location"/>
    <tableColumn id="5" xr3:uid="{F88C8B35-ED31-486A-A352-C011080EA78A}" name="smoke_detection_apt"/>
    <tableColumn id="6" xr3:uid="{81BB853B-7991-41FE-B93E-DCC5300398FE}" name="smoke_detection_corridor"/>
    <tableColumn id="14" xr3:uid="{2FCD20C7-A8BE-4FE0-AFA5-6B78E8F1E994}" name="location_length" dataDxfId="1">
      <calculatedColumnFormula>RSET_lookup[[#This Row],[Location]]&amp;RSET_lookup[[#This Row],[Corridor_length]]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3.xml"/><Relationship Id="rId15" Type="http://schemas.openxmlformats.org/officeDocument/2006/relationships/table" Target="../tables/table8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2.xml"/><Relationship Id="rId14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8610F-3C40-4A76-BE34-EB364C4B9EB2}">
  <sheetPr codeName="Sheet1"/>
  <dimension ref="B2:O39"/>
  <sheetViews>
    <sheetView tabSelected="1" workbookViewId="0">
      <selection activeCell="W10" sqref="W10"/>
    </sheetView>
  </sheetViews>
  <sheetFormatPr defaultRowHeight="15" x14ac:dyDescent="0.25"/>
  <cols>
    <col min="2" max="2" width="30" customWidth="1"/>
    <col min="3" max="3" width="12.7109375" customWidth="1"/>
    <col min="4" max="4" width="20.28515625" customWidth="1"/>
    <col min="5" max="5" width="23" customWidth="1"/>
    <col min="7" max="7" width="16.7109375" customWidth="1"/>
    <col min="8" max="8" width="24.140625" customWidth="1"/>
    <col min="9" max="9" width="14.7109375" customWidth="1"/>
    <col min="10" max="10" width="12.42578125" customWidth="1"/>
    <col min="14" max="14" width="19.42578125" customWidth="1"/>
    <col min="15" max="16" width="16" customWidth="1"/>
  </cols>
  <sheetData>
    <row r="2" spans="2:15" x14ac:dyDescent="0.25">
      <c r="B2" t="s">
        <v>20</v>
      </c>
      <c r="C2" t="s">
        <v>0</v>
      </c>
      <c r="E2" t="s">
        <v>25</v>
      </c>
      <c r="H2" t="s">
        <v>28</v>
      </c>
      <c r="N2" t="s">
        <v>19</v>
      </c>
      <c r="O2" t="s">
        <v>17</v>
      </c>
    </row>
    <row r="3" spans="2:15" x14ac:dyDescent="0.25">
      <c r="B3" t="s">
        <v>11</v>
      </c>
      <c r="C3">
        <v>0.94699999999999995</v>
      </c>
      <c r="N3" s="2">
        <f>0.13*10^-2</f>
        <v>1.3000000000000002E-3</v>
      </c>
      <c r="O3" t="s">
        <v>18</v>
      </c>
    </row>
    <row r="4" spans="2:15" x14ac:dyDescent="0.25">
      <c r="B4" t="s">
        <v>12</v>
      </c>
      <c r="C4">
        <f>1-C3</f>
        <v>5.3000000000000047E-2</v>
      </c>
      <c r="E4" t="s">
        <v>26</v>
      </c>
      <c r="F4">
        <v>1.2999999999999999E-3</v>
      </c>
      <c r="H4" t="s">
        <v>29</v>
      </c>
      <c r="I4">
        <f>2*2*2*3*2*2*2</f>
        <v>192</v>
      </c>
    </row>
    <row r="5" spans="2:15" x14ac:dyDescent="0.25">
      <c r="E5" t="s">
        <v>24</v>
      </c>
      <c r="F5">
        <v>6</v>
      </c>
      <c r="H5" t="s">
        <v>30</v>
      </c>
      <c r="I5">
        <f>ROWS(fire_location[fire_location])*ROWS(smoke_detection_apt[smoke_detection_apt])*ROWS(smoke_detection_corridor[smoke_detection_corridor])*ROWS(sprinkler[sprinkler])*ROWS(manual_suppression[manual_suppression])*ROWS(door_open[door_open])*ROWS(smoke_seal[smoke_seal])</f>
        <v>192</v>
      </c>
    </row>
    <row r="6" spans="2:15" x14ac:dyDescent="0.25">
      <c r="B6" t="s">
        <v>34</v>
      </c>
      <c r="C6" t="s">
        <v>0</v>
      </c>
      <c r="H6" t="s">
        <v>31</v>
      </c>
      <c r="I6">
        <f>F4</f>
        <v>1.2999999999999999E-3</v>
      </c>
    </row>
    <row r="7" spans="2:15" x14ac:dyDescent="0.25">
      <c r="B7" t="s">
        <v>1</v>
      </c>
      <c r="C7">
        <v>0.9</v>
      </c>
      <c r="E7" t="s">
        <v>27</v>
      </c>
      <c r="F7" t="s">
        <v>142</v>
      </c>
      <c r="H7" t="s">
        <v>32</v>
      </c>
      <c r="I7">
        <f>F5*F4</f>
        <v>7.7999999999999996E-3</v>
      </c>
    </row>
    <row r="8" spans="2:15" x14ac:dyDescent="0.25">
      <c r="B8" t="s">
        <v>2</v>
      </c>
      <c r="C8">
        <v>0.1</v>
      </c>
      <c r="E8" t="s">
        <v>96</v>
      </c>
      <c r="F8">
        <v>6</v>
      </c>
    </row>
    <row r="9" spans="2:15" x14ac:dyDescent="0.25">
      <c r="E9" t="s">
        <v>108</v>
      </c>
      <c r="H9" t="s">
        <v>138</v>
      </c>
      <c r="I9" s="1">
        <f>SUM(event_tree[risk])/(F5*2)</f>
        <v>8.4716404499999979E-4</v>
      </c>
    </row>
    <row r="10" spans="2:15" x14ac:dyDescent="0.25">
      <c r="B10" t="s">
        <v>35</v>
      </c>
      <c r="C10" t="s">
        <v>0</v>
      </c>
      <c r="H10" t="s">
        <v>139</v>
      </c>
      <c r="I10">
        <f>SUM(event_tree[risk])</f>
        <v>1.0165968539999997E-2</v>
      </c>
    </row>
    <row r="11" spans="2:15" x14ac:dyDescent="0.25">
      <c r="B11" t="s">
        <v>1</v>
      </c>
      <c r="C11">
        <v>0.9</v>
      </c>
      <c r="E11" t="s">
        <v>140</v>
      </c>
      <c r="F11">
        <v>60</v>
      </c>
    </row>
    <row r="12" spans="2:15" x14ac:dyDescent="0.25">
      <c r="B12" t="s">
        <v>2</v>
      </c>
      <c r="C12">
        <v>0.1</v>
      </c>
      <c r="E12" t="s">
        <v>141</v>
      </c>
      <c r="F12">
        <v>600</v>
      </c>
    </row>
    <row r="14" spans="2:15" x14ac:dyDescent="0.25">
      <c r="B14" t="s">
        <v>6</v>
      </c>
      <c r="C14" t="s">
        <v>0</v>
      </c>
    </row>
    <row r="15" spans="2:15" x14ac:dyDescent="0.25">
      <c r="B15" t="s">
        <v>2</v>
      </c>
      <c r="C15">
        <v>0.1</v>
      </c>
    </row>
    <row r="16" spans="2:15" x14ac:dyDescent="0.25">
      <c r="B16" t="s">
        <v>14</v>
      </c>
      <c r="C16">
        <v>0.42</v>
      </c>
    </row>
    <row r="17" spans="2:3" x14ac:dyDescent="0.25">
      <c r="B17" t="s">
        <v>3</v>
      </c>
      <c r="C17">
        <v>0.48</v>
      </c>
    </row>
    <row r="19" spans="2:3" x14ac:dyDescent="0.25">
      <c r="B19" t="s">
        <v>33</v>
      </c>
      <c r="C19" t="s">
        <v>0</v>
      </c>
    </row>
    <row r="20" spans="2:3" x14ac:dyDescent="0.25">
      <c r="B20" t="s">
        <v>2</v>
      </c>
      <c r="C20">
        <v>0.35</v>
      </c>
    </row>
    <row r="21" spans="2:3" x14ac:dyDescent="0.25">
      <c r="B21" t="s">
        <v>110</v>
      </c>
      <c r="C21">
        <v>0.65</v>
      </c>
    </row>
    <row r="23" spans="2:3" x14ac:dyDescent="0.25">
      <c r="B23" t="s">
        <v>7</v>
      </c>
      <c r="C23" t="s">
        <v>0</v>
      </c>
    </row>
    <row r="24" spans="2:3" x14ac:dyDescent="0.25">
      <c r="B24" t="s">
        <v>4</v>
      </c>
      <c r="C24">
        <v>0.3</v>
      </c>
    </row>
    <row r="25" spans="2:3" x14ac:dyDescent="0.25">
      <c r="B25" t="s">
        <v>5</v>
      </c>
      <c r="C25">
        <v>0.7</v>
      </c>
    </row>
    <row r="28" spans="2:3" x14ac:dyDescent="0.25">
      <c r="B28" t="s">
        <v>21</v>
      </c>
      <c r="C28" t="s">
        <v>0</v>
      </c>
    </row>
    <row r="29" spans="2:3" x14ac:dyDescent="0.25">
      <c r="B29" t="s">
        <v>2</v>
      </c>
      <c r="C29">
        <v>0.35</v>
      </c>
    </row>
    <row r="30" spans="2:3" x14ac:dyDescent="0.25">
      <c r="B30" t="s">
        <v>22</v>
      </c>
      <c r="C30">
        <v>0.65</v>
      </c>
    </row>
    <row r="32" spans="2:3" x14ac:dyDescent="0.25">
      <c r="B32" t="s">
        <v>87</v>
      </c>
      <c r="C32" t="s">
        <v>0</v>
      </c>
    </row>
    <row r="33" spans="2:3" x14ac:dyDescent="0.25">
      <c r="B33">
        <v>6</v>
      </c>
      <c r="C33">
        <v>1</v>
      </c>
    </row>
    <row r="34" spans="2:3" x14ac:dyDescent="0.25">
      <c r="B34">
        <v>10</v>
      </c>
      <c r="C34">
        <v>1</v>
      </c>
    </row>
    <row r="35" spans="2:3" x14ac:dyDescent="0.25">
      <c r="B35">
        <v>14</v>
      </c>
      <c r="C35">
        <v>1</v>
      </c>
    </row>
    <row r="36" spans="2:3" x14ac:dyDescent="0.25">
      <c r="B36">
        <v>18</v>
      </c>
      <c r="C36">
        <v>1</v>
      </c>
    </row>
    <row r="37" spans="2:3" x14ac:dyDescent="0.25">
      <c r="B37">
        <v>22</v>
      </c>
      <c r="C37">
        <v>1</v>
      </c>
    </row>
    <row r="38" spans="2:3" x14ac:dyDescent="0.25">
      <c r="B38">
        <v>26</v>
      </c>
      <c r="C38">
        <v>1</v>
      </c>
    </row>
    <row r="39" spans="2:3" x14ac:dyDescent="0.25">
      <c r="B39">
        <v>30</v>
      </c>
      <c r="C39">
        <v>1</v>
      </c>
    </row>
  </sheetData>
  <dataValidations count="2">
    <dataValidation type="list" allowBlank="1" showInputMessage="1" showErrorMessage="1" sqref="F7 F9" xr:uid="{B8BEEEF0-5FAF-4D5A-B89A-F25E73F26D4E}">
      <formula1>"Yes, No"</formula1>
    </dataValidation>
    <dataValidation type="list" allowBlank="1" showInputMessage="1" showErrorMessage="1" sqref="F8" xr:uid="{D2BC496C-6455-430A-B0CD-81E0BD36CEA0}">
      <formula1>"6,10,14,18,22,26,30"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Button 4">
              <controlPr defaultSize="0" print="0" autoFill="0" autoPict="0" macro="[0]!Button4_Click">
                <anchor moveWithCells="1" sizeWithCells="1">
                  <from>
                    <xdr:col>13</xdr:col>
                    <xdr:colOff>276225</xdr:colOff>
                    <xdr:row>9</xdr:row>
                    <xdr:rowOff>76200</xdr:rowOff>
                  </from>
                  <to>
                    <xdr:col>14</xdr:col>
                    <xdr:colOff>333375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utton6_Click">
                <anchor moveWithCells="1" sizeWithCells="1">
                  <from>
                    <xdr:col>13</xdr:col>
                    <xdr:colOff>314325</xdr:colOff>
                    <xdr:row>14</xdr:row>
                    <xdr:rowOff>19050</xdr:rowOff>
                  </from>
                  <to>
                    <xdr:col>14</xdr:col>
                    <xdr:colOff>314325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">
              <controlPr defaultSize="0" print="0" autoFill="0" autoPict="0" macro="[0]!Button10_Click">
                <anchor moveWithCells="1" sizeWithCells="1">
                  <from>
                    <xdr:col>13</xdr:col>
                    <xdr:colOff>276225</xdr:colOff>
                    <xdr:row>19</xdr:row>
                    <xdr:rowOff>47625</xdr:rowOff>
                  </from>
                  <to>
                    <xdr:col>14</xdr:col>
                    <xdr:colOff>295275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defaultSize="0" print="0" autoFill="0" autoPict="0" macro="[0]!Button11_Click">
                <anchor moveWithCells="1" sizeWithCells="1">
                  <from>
                    <xdr:col>13</xdr:col>
                    <xdr:colOff>333375</xdr:colOff>
                    <xdr:row>23</xdr:row>
                    <xdr:rowOff>171450</xdr:rowOff>
                  </from>
                  <to>
                    <xdr:col>14</xdr:col>
                    <xdr:colOff>285750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7" name="Button 13">
              <controlPr defaultSize="0" print="0" autoFill="0" autoPict="0" macro="[0]!Button13_Click">
                <anchor moveWithCells="1" sizeWithCells="1">
                  <from>
                    <xdr:col>13</xdr:col>
                    <xdr:colOff>342900</xdr:colOff>
                    <xdr:row>28</xdr:row>
                    <xdr:rowOff>95250</xdr:rowOff>
                  </from>
                  <to>
                    <xdr:col>14</xdr:col>
                    <xdr:colOff>304800</xdr:colOff>
                    <xdr:row>32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8"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F7E7C-D3D0-480E-801E-DCADEABCA8C8}">
  <sheetPr codeName="Sheet2"/>
  <dimension ref="A1:AL193"/>
  <sheetViews>
    <sheetView zoomScaleNormal="100" workbookViewId="0">
      <selection activeCell="O36" sqref="O36"/>
    </sheetView>
  </sheetViews>
  <sheetFormatPr defaultRowHeight="15" x14ac:dyDescent="0.25"/>
  <cols>
    <col min="1" max="1" width="11.140625" bestFit="1" customWidth="1"/>
    <col min="2" max="2" width="14.5703125" bestFit="1" customWidth="1"/>
    <col min="3" max="3" width="22.85546875" bestFit="1" customWidth="1"/>
    <col min="4" max="4" width="27.28515625" bestFit="1" customWidth="1"/>
    <col min="5" max="5" width="11.28515625" bestFit="1" customWidth="1"/>
    <col min="6" max="6" width="22.140625" bestFit="1" customWidth="1"/>
    <col min="7" max="7" width="12.85546875" bestFit="1" customWidth="1"/>
    <col min="8" max="8" width="13.85546875" bestFit="1" customWidth="1"/>
    <col min="9" max="9" width="13.85546875" customWidth="1"/>
    <col min="10" max="10" width="16.5703125" customWidth="1"/>
    <col min="11" max="11" width="24.7109375" bestFit="1" customWidth="1"/>
    <col min="12" max="12" width="16.42578125" bestFit="1" customWidth="1"/>
    <col min="13" max="13" width="15.5703125" bestFit="1" customWidth="1"/>
    <col min="14" max="15" width="11.42578125" bestFit="1" customWidth="1"/>
    <col min="16" max="16" width="17.28515625" bestFit="1" customWidth="1"/>
    <col min="17" max="18" width="11.7109375" bestFit="1" customWidth="1"/>
    <col min="19" max="19" width="12.140625" bestFit="1" customWidth="1"/>
    <col min="20" max="21" width="14.42578125" bestFit="1" customWidth="1"/>
    <col min="22" max="22" width="14.85546875" bestFit="1" customWidth="1"/>
    <col min="23" max="23" width="7.140625" bestFit="1" customWidth="1"/>
    <col min="24" max="24" width="22.5703125" bestFit="1" customWidth="1"/>
    <col min="25" max="25" width="23.7109375" bestFit="1" customWidth="1"/>
    <col min="26" max="26" width="22.5703125" bestFit="1" customWidth="1"/>
    <col min="27" max="27" width="23.5703125" customWidth="1"/>
    <col min="28" max="28" width="20.140625" bestFit="1" customWidth="1"/>
    <col min="29" max="29" width="14.85546875" bestFit="1" customWidth="1"/>
    <col min="30" max="30" width="15.5703125" bestFit="1" customWidth="1"/>
    <col min="31" max="31" width="18.28515625" bestFit="1" customWidth="1"/>
    <col min="32" max="32" width="15.85546875" bestFit="1" customWidth="1"/>
    <col min="33" max="33" width="15.7109375" customWidth="1"/>
    <col min="34" max="34" width="11.140625" customWidth="1"/>
  </cols>
  <sheetData>
    <row r="1" spans="1:38" x14ac:dyDescent="0.25">
      <c r="A1" t="s">
        <v>9</v>
      </c>
      <c r="B1" t="s">
        <v>20</v>
      </c>
      <c r="C1" t="s">
        <v>34</v>
      </c>
      <c r="D1" t="s">
        <v>35</v>
      </c>
      <c r="E1" t="s">
        <v>6</v>
      </c>
      <c r="F1" t="s">
        <v>33</v>
      </c>
      <c r="G1" t="s">
        <v>7</v>
      </c>
      <c r="H1" t="s">
        <v>21</v>
      </c>
      <c r="I1" t="s">
        <v>107</v>
      </c>
      <c r="J1" t="s">
        <v>23</v>
      </c>
      <c r="K1" t="s">
        <v>36</v>
      </c>
      <c r="L1" s="5" t="s">
        <v>57</v>
      </c>
      <c r="M1" s="5" t="s">
        <v>118</v>
      </c>
      <c r="N1" s="5" t="s">
        <v>81</v>
      </c>
      <c r="O1" s="5" t="s">
        <v>83</v>
      </c>
      <c r="P1" s="5" t="s">
        <v>120</v>
      </c>
      <c r="Q1" s="6" t="s">
        <v>121</v>
      </c>
      <c r="R1" s="6" t="s">
        <v>122</v>
      </c>
      <c r="S1" s="6" t="s">
        <v>123</v>
      </c>
      <c r="T1" s="7" t="s">
        <v>124</v>
      </c>
      <c r="U1" s="7" t="s">
        <v>125</v>
      </c>
      <c r="V1" s="7" t="s">
        <v>126</v>
      </c>
      <c r="W1" t="s">
        <v>115</v>
      </c>
      <c r="X1" t="s">
        <v>127</v>
      </c>
      <c r="Y1" t="s">
        <v>128</v>
      </c>
      <c r="Z1" t="s">
        <v>129</v>
      </c>
      <c r="AA1" t="s">
        <v>130</v>
      </c>
      <c r="AB1" t="s">
        <v>131</v>
      </c>
      <c r="AC1" t="s">
        <v>132</v>
      </c>
      <c r="AD1" t="s">
        <v>133</v>
      </c>
      <c r="AE1" t="s">
        <v>134</v>
      </c>
      <c r="AF1" t="s">
        <v>135</v>
      </c>
      <c r="AG1" t="s">
        <v>136</v>
      </c>
      <c r="AH1" t="s">
        <v>137</v>
      </c>
    </row>
    <row r="2" spans="1:38" x14ac:dyDescent="0.25">
      <c r="A2">
        <v>1</v>
      </c>
      <c r="B2" t="str" cm="1">
        <f t="array" ref="B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" t="str" cm="1">
        <f t="array" ref="C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" t="str" cm="1">
        <f t="array" ref="D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2" t="str" cm="1">
        <f t="array" ref="E2">INDEX(sprinkler[sprinkler],
  1+MOD(QUOTIENT(ROW()-ROW($B$2),
     ROWS(manual_suppression[manual_suppression])*
     ROWS(door_open[door_open])*
     ROWS(smoke_seal[smoke_seal])
  ),
  ROWS(sprinkler[sprinkler]))
)</f>
        <v>Fail</v>
      </c>
      <c r="F2" t="str" cm="1">
        <f t="array" ref="F2">INDEX(manual_suppression[manual_suppression],
  1+MOD(QUOTIENT(ROW()-ROW($B$2),
     ROWS(door_open[door_open])*
     ROWS(smoke_seal[smoke_seal])
  ),
  ROWS(manual_suppression[manual_suppression]))
)</f>
        <v>Fail</v>
      </c>
      <c r="G2" t="str" cm="1">
        <f t="array" ref="G2">INDEX(door_open[door_open],
  1+MOD(QUOTIENT(ROW()-ROW($B$2),
     ROWS(smoke_seal[smoke_seal])
  ),
  ROWS(door_open[door_open]))
)</f>
        <v>Open</v>
      </c>
      <c r="H2" t="str" cm="1">
        <f t="array" ref="H2">INDEX(smoke_seal[smoke_seal],
  1+MOD(ROW()-ROW($B$2), ROWS(smoke_seal[smoke_seal]))
)</f>
        <v>Fail</v>
      </c>
      <c r="I2" t="str">
        <f>IF(event_tree[[#This Row],[door_open]]="Open","Open",IF(event_tree[[#This Row],[smoke_seal]]="Success","Close","Part"))</f>
        <v>Open</v>
      </c>
      <c r="J2">
        <f>IF(B2="apartment",Inputs!$I$7,Inputs!$I$6)</f>
        <v>7.7999999999999996E-3</v>
      </c>
      <c r="K2">
        <f>PRODUCT(
  INDEX(fire_location[Probability],MATCH($B2,fire_location[fire_location],0)),
  INDEX(smoke_detection_apt[Probability],MATCH($C2,smoke_detection_apt[smoke_detection_apt],0)),
  INDEX(smoke_detection_corridor[Probability],MATCH($D2,smoke_detection_corridor[smoke_detection_corridor],0)),
  INDEX(sprinkler[Probability],MATCH($E2,sprinkler[sprinkler],0)),
  INDEX(manual_suppression[Probability],MATCH($F2,manual_suppression[manual_suppression],0)),
  INDEX(door_open[Probability],MATCH($G2,door_open[door_open],0)),
  INDEX(smoke_seal[Probability],MATCH($H2,smoke_seal[smoke_seal],0))
)</f>
        <v>2.8189822499999997E-3</v>
      </c>
      <c r="L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A</v>
      </c>
      <c r="M2" t="str">
        <f>event_tree[[#This Row],[ASET_scenario]]&amp;Inputs!$F$8</f>
        <v>A6</v>
      </c>
      <c r="N2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2">
        <f>IF(OR(event_tree[[#This Row],[sprinkler]]="Extinguish",event_tree[[#This Row],[manual_suppression]]="Suppress"),"extinguish",_xlfn.XLOOKUP(event_tree[[#This Row],[ASET_helper1]],ASET_data[ASET_helper1],ASET_data[cor_ASET]))</f>
        <v>92</v>
      </c>
      <c r="P2" t="str">
        <f>event_tree[[#This Row],[fire_location]]&amp;Inputs!$F$8</f>
        <v>Apartment6</v>
      </c>
      <c r="Q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2">
        <f>IF(event_tree[[#This Row],[fire_location]]="Apartment",Inputs!$F$11,Inputs!$F$12)</f>
        <v>60</v>
      </c>
      <c r="S2">
        <f>10+Inputs!$F$8</f>
        <v>16</v>
      </c>
      <c r="T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</v>
      </c>
      <c r="U2">
        <f>IF(event_tree[[#This Row],[fire_location]]="Apartment",Inputs!$F$12,Inputs!$F$11)</f>
        <v>600</v>
      </c>
      <c r="V2">
        <f>10+Inputs!$F$8</f>
        <v>16</v>
      </c>
      <c r="W2">
        <f>30</f>
        <v>30</v>
      </c>
      <c r="X2">
        <f>IF(event_tree[[#This Row],[ASET_scenario]]="X","extinguish",
   event_tree[[#This Row],[SOU_tdet]] + event_tree[[#This Row],[SOU_tpre]] + event_tree[[#This Row],[tnot]])</f>
        <v>127</v>
      </c>
      <c r="Y2">
        <f>IF(event_tree[[#This Row],[ASET_scenario]]="X","extinguish",
   event_tree[[#This Row],[SOU_inside_RSET]] + event_tree[[#This Row],[SOU_ttrav]])</f>
        <v>143</v>
      </c>
      <c r="Z2">
        <f>IF(event_tree[[#This Row],[ASET_scenario]]="X","extinguish",
   event_tree[[#This Row],[remote_tdet]] + event_tree[[#This Row],[remote_tpre]] + event_tree[[#This Row],[remote_ttrav]] + event_tree[[#This Row],[tnot]])</f>
        <v>736</v>
      </c>
      <c r="AA2">
        <f>IF(event_tree[[#This Row],[ASET_scenario]]="X","extinguish", event_tree[[#This Row],[apt_ASET]]/event_tree[[#This Row],[SOU_inside_RSET]])</f>
        <v>0.49606299212598426</v>
      </c>
      <c r="AB2">
        <f>IF(event_tree[[#This Row],[ASET_scenario]]="X","extinguish",event_tree[[#This Row],[cor_ASET]]/event_tree[[#This Row],[SOU_outside_RSET]])</f>
        <v>0.64335664335664333</v>
      </c>
      <c r="AC2">
        <f>IF(event_tree[[#This Row],[ASET_scenario]]="X","extinguish",event_tree[[#This Row],[cor_ASET]]/event_tree[[#This Row],[remote_RSET]])</f>
        <v>0.125</v>
      </c>
      <c r="AD2">
        <f>IF(OR(event_tree[[#This Row],[SOU_inside_ratio]]&lt;1,event_tree[[#This Row],[SOU_outside_ratio]]&lt;1),2)</f>
        <v>2</v>
      </c>
      <c r="AE2">
        <f>IF(event_tree[[#This Row],[remote_ratio]]&lt;1,2*(Inputs!$F$5-1))</f>
        <v>10</v>
      </c>
      <c r="AF2">
        <f>event_tree[[#This Row],[SOU_casualty]]+event_tree[[#This Row],[remote_casualty]]</f>
        <v>12</v>
      </c>
      <c r="AG2">
        <f>event_tree[[#This Row],[fire_frequency]]*event_tree[[#This Row],[probability_of_scenario]]</f>
        <v>2.1988061549999998E-5</v>
      </c>
      <c r="AH2">
        <f>event_tree[[#This Row],[total_casualty]]*event_tree[[#This Row],[fire_probability]]</f>
        <v>2.6385673859999998E-4</v>
      </c>
      <c r="AL2">
        <f>SUM(event_tree[probability_of_scenario])</f>
        <v>0.99999999999999978</v>
      </c>
    </row>
    <row r="3" spans="1:38" x14ac:dyDescent="0.25">
      <c r="A3">
        <v>2</v>
      </c>
      <c r="B3" t="str" cm="1">
        <f t="array" ref="B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" t="str" cm="1">
        <f t="array" ref="C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" t="str" cm="1">
        <f t="array" ref="D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3" t="str" cm="1">
        <f t="array" ref="E3">INDEX(sprinkler[sprinkler],
  1+MOD(QUOTIENT(ROW()-ROW($B$2),
     ROWS(manual_suppression[manual_suppression])*
     ROWS(door_open[door_open])*
     ROWS(smoke_seal[smoke_seal])
  ),
  ROWS(sprinkler[sprinkler]))
)</f>
        <v>Fail</v>
      </c>
      <c r="F3" t="str" cm="1">
        <f t="array" ref="F3">INDEX(manual_suppression[manual_suppression],
  1+MOD(QUOTIENT(ROW()-ROW($B$2),
     ROWS(door_open[door_open])*
     ROWS(smoke_seal[smoke_seal])
  ),
  ROWS(manual_suppression[manual_suppression]))
)</f>
        <v>Fail</v>
      </c>
      <c r="G3" t="str" cm="1">
        <f t="array" ref="G3">INDEX(door_open[door_open],
  1+MOD(QUOTIENT(ROW()-ROW($B$2),
     ROWS(smoke_seal[smoke_seal])
  ),
  ROWS(door_open[door_open]))
)</f>
        <v>Open</v>
      </c>
      <c r="H3" t="str" cm="1">
        <f t="array" ref="H3">INDEX(smoke_seal[smoke_seal],
  1+MOD(ROW()-ROW($B$2), ROWS(smoke_seal[smoke_seal]))
)</f>
        <v>Success</v>
      </c>
      <c r="I3" t="str">
        <f>IF(event_tree[[#This Row],[door_open]]="Open","Open",IF(event_tree[[#This Row],[smoke_seal]]="Success","Close","Part"))</f>
        <v>Open</v>
      </c>
      <c r="J3">
        <f>IF(B3="apartment",Inputs!$I$7,Inputs!$I$6)</f>
        <v>7.7999999999999996E-3</v>
      </c>
      <c r="K3">
        <f>PRODUCT(
  INDEX(fire_location[Probability],MATCH($B3,fire_location[fire_location],0)),
  INDEX(smoke_detection_apt[Probability],MATCH($C3,smoke_detection_apt[smoke_detection_apt],0)),
  INDEX(smoke_detection_corridor[Probability],MATCH($D3,smoke_detection_corridor[smoke_detection_corridor],0)),
  INDEX(sprinkler[Probability],MATCH($E3,sprinkler[sprinkler],0)),
  INDEX(manual_suppression[Probability],MATCH($F3,manual_suppression[manual_suppression],0)),
  INDEX(door_open[Probability],MATCH($G3,door_open[door_open],0)),
  INDEX(smoke_seal[Probability],MATCH($H3,smoke_seal[smoke_seal],0))
)</f>
        <v>5.2352527499999997E-3</v>
      </c>
      <c r="L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A</v>
      </c>
      <c r="M3" t="str">
        <f>event_tree[[#This Row],[ASET_scenario]]&amp;Inputs!$F$8</f>
        <v>A6</v>
      </c>
      <c r="N3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3">
        <f>IF(OR(event_tree[[#This Row],[sprinkler]]="Extinguish",event_tree[[#This Row],[manual_suppression]]="Suppress"),"extinguish",_xlfn.XLOOKUP(event_tree[[#This Row],[ASET_helper1]],ASET_data[ASET_helper1],ASET_data[cor_ASET]))</f>
        <v>92</v>
      </c>
      <c r="P3" t="str">
        <f>event_tree[[#This Row],[fire_location]]&amp;Inputs!$F$8</f>
        <v>Apartment6</v>
      </c>
      <c r="Q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3">
        <f>IF(event_tree[[#This Row],[fire_location]]="Apartment",Inputs!$F$11,Inputs!$F$12)</f>
        <v>60</v>
      </c>
      <c r="S3">
        <f>10+Inputs!$F$8</f>
        <v>16</v>
      </c>
      <c r="T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</v>
      </c>
      <c r="U3">
        <f>IF(event_tree[[#This Row],[fire_location]]="Apartment",Inputs!$F$12,Inputs!$F$11)</f>
        <v>600</v>
      </c>
      <c r="V3">
        <f>10+Inputs!$F$8</f>
        <v>16</v>
      </c>
      <c r="W3">
        <f>30</f>
        <v>30</v>
      </c>
      <c r="X3">
        <f>IF(event_tree[[#This Row],[ASET_scenario]]="X","extinguish",
   event_tree[[#This Row],[SOU_tdet]] + event_tree[[#This Row],[SOU_tpre]] + event_tree[[#This Row],[tnot]])</f>
        <v>127</v>
      </c>
      <c r="Y3">
        <f>IF(event_tree[[#This Row],[ASET_scenario]]="X","extinguish",
   event_tree[[#This Row],[SOU_inside_RSET]] + event_tree[[#This Row],[SOU_ttrav]])</f>
        <v>143</v>
      </c>
      <c r="Z3">
        <f>IF(event_tree[[#This Row],[ASET_scenario]]="X","extinguish",
   event_tree[[#This Row],[remote_tdet]] + event_tree[[#This Row],[remote_tpre]] + event_tree[[#This Row],[remote_ttrav]] + event_tree[[#This Row],[tnot]])</f>
        <v>736</v>
      </c>
      <c r="AA3">
        <f>IF(event_tree[[#This Row],[ASET_scenario]]="X","extinguish", event_tree[[#This Row],[apt_ASET]]/event_tree[[#This Row],[SOU_inside_RSET]])</f>
        <v>0.49606299212598426</v>
      </c>
      <c r="AB3">
        <f>IF(event_tree[[#This Row],[ASET_scenario]]="X","extinguish",event_tree[[#This Row],[cor_ASET]]/event_tree[[#This Row],[SOU_outside_RSET]])</f>
        <v>0.64335664335664333</v>
      </c>
      <c r="AC3">
        <f>IF(event_tree[[#This Row],[ASET_scenario]]="X","extinguish",event_tree[[#This Row],[cor_ASET]]/event_tree[[#This Row],[remote_RSET]])</f>
        <v>0.125</v>
      </c>
      <c r="AD3">
        <f>IF(OR(event_tree[[#This Row],[SOU_inside_ratio]]&lt;1,event_tree[[#This Row],[SOU_outside_ratio]]&lt;1),2)</f>
        <v>2</v>
      </c>
      <c r="AE3">
        <f>IF(event_tree[[#This Row],[remote_ratio]]&lt;1,2*(Inputs!$F$5-1))</f>
        <v>10</v>
      </c>
      <c r="AF3">
        <f>event_tree[[#This Row],[SOU_casualty]]+event_tree[[#This Row],[remote_casualty]]</f>
        <v>12</v>
      </c>
      <c r="AG3">
        <f>event_tree[[#This Row],[fire_frequency]]*event_tree[[#This Row],[probability_of_scenario]]</f>
        <v>4.0834971449999994E-5</v>
      </c>
      <c r="AH3">
        <f>event_tree[[#This Row],[total_casualty]]*event_tree[[#This Row],[fire_probability]]</f>
        <v>4.9001965739999996E-4</v>
      </c>
    </row>
    <row r="4" spans="1:38" x14ac:dyDescent="0.25">
      <c r="A4">
        <v>3</v>
      </c>
      <c r="B4" t="str" cm="1">
        <f t="array" ref="B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" t="str" cm="1">
        <f t="array" ref="C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" t="str" cm="1">
        <f t="array" ref="D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4" t="str" cm="1">
        <f t="array" ref="E4">INDEX(sprinkler[sprinkler],
  1+MOD(QUOTIENT(ROW()-ROW($B$2),
     ROWS(manual_suppression[manual_suppression])*
     ROWS(door_open[door_open])*
     ROWS(smoke_seal[smoke_seal])
  ),
  ROWS(sprinkler[sprinkler]))
)</f>
        <v>Fail</v>
      </c>
      <c r="F4" t="str" cm="1">
        <f t="array" ref="F4">INDEX(manual_suppression[manual_suppression],
  1+MOD(QUOTIENT(ROW()-ROW($B$2),
     ROWS(door_open[door_open])*
     ROWS(smoke_seal[smoke_seal])
  ),
  ROWS(manual_suppression[manual_suppression]))
)</f>
        <v>Fail</v>
      </c>
      <c r="G4" t="str" cm="1">
        <f t="array" ref="G4">INDEX(door_open[door_open],
  1+MOD(QUOTIENT(ROW()-ROW($B$2),
     ROWS(smoke_seal[smoke_seal])
  ),
  ROWS(door_open[door_open]))
)</f>
        <v>Closed</v>
      </c>
      <c r="H4" t="str" cm="1">
        <f t="array" ref="H4">INDEX(smoke_seal[smoke_seal],
  1+MOD(ROW()-ROW($B$2), ROWS(smoke_seal[smoke_seal]))
)</f>
        <v>Fail</v>
      </c>
      <c r="I4" t="str">
        <f>IF(event_tree[[#This Row],[door_open]]="Open","Open",IF(event_tree[[#This Row],[smoke_seal]]="Success","Close","Part"))</f>
        <v>Part</v>
      </c>
      <c r="J4">
        <f>IF(B4="apartment",Inputs!$I$7,Inputs!$I$6)</f>
        <v>7.7999999999999996E-3</v>
      </c>
      <c r="K4">
        <f>PRODUCT(
  INDEX(fire_location[Probability],MATCH($B4,fire_location[fire_location],0)),
  INDEX(smoke_detection_apt[Probability],MATCH($C4,smoke_detection_apt[smoke_detection_apt],0)),
  INDEX(smoke_detection_corridor[Probability],MATCH($D4,smoke_detection_corridor[smoke_detection_corridor],0)),
  INDEX(sprinkler[Probability],MATCH($E4,sprinkler[sprinkler],0)),
  INDEX(manual_suppression[Probability],MATCH($F4,manual_suppression[manual_suppression],0)),
  INDEX(door_open[Probability],MATCH($G4,door_open[door_open],0)),
  INDEX(smoke_seal[Probability],MATCH($H4,smoke_seal[smoke_seal],0))
)</f>
        <v>6.5776252499999991E-3</v>
      </c>
      <c r="L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C</v>
      </c>
      <c r="M4" t="str">
        <f>event_tree[[#This Row],[ASET_scenario]]&amp;Inputs!$F$8</f>
        <v>C6</v>
      </c>
      <c r="N4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4">
        <f>IF(OR(event_tree[[#This Row],[sprinkler]]="Extinguish",event_tree[[#This Row],[manual_suppression]]="Suppress"),"extinguish",_xlfn.XLOOKUP(event_tree[[#This Row],[ASET_helper1]],ASET_data[ASET_helper1],ASET_data[cor_ASET]))</f>
        <v>125</v>
      </c>
      <c r="P4" t="str">
        <f>event_tree[[#This Row],[fire_location]]&amp;Inputs!$F$8</f>
        <v>Apartment6</v>
      </c>
      <c r="Q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4">
        <f>IF(event_tree[[#This Row],[fire_location]]="Apartment",Inputs!$F$11,Inputs!$F$12)</f>
        <v>60</v>
      </c>
      <c r="S4">
        <f>10+Inputs!$F$8</f>
        <v>16</v>
      </c>
      <c r="T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108</v>
      </c>
      <c r="U4">
        <f>IF(event_tree[[#This Row],[fire_location]]="Apartment",Inputs!$F$12,Inputs!$F$11)</f>
        <v>600</v>
      </c>
      <c r="V4">
        <f>10+Inputs!$F$8</f>
        <v>16</v>
      </c>
      <c r="W4">
        <f>30</f>
        <v>30</v>
      </c>
      <c r="X4">
        <f>IF(event_tree[[#This Row],[ASET_scenario]]="X","extinguish",
   event_tree[[#This Row],[SOU_tdet]] + event_tree[[#This Row],[SOU_tpre]] + event_tree[[#This Row],[tnot]])</f>
        <v>127</v>
      </c>
      <c r="Y4">
        <f>IF(event_tree[[#This Row],[ASET_scenario]]="X","extinguish",
   event_tree[[#This Row],[SOU_inside_RSET]] + event_tree[[#This Row],[SOU_ttrav]])</f>
        <v>143</v>
      </c>
      <c r="Z4">
        <f>IF(event_tree[[#This Row],[ASET_scenario]]="X","extinguish",
   event_tree[[#This Row],[remote_tdet]] + event_tree[[#This Row],[remote_tpre]] + event_tree[[#This Row],[remote_ttrav]] + event_tree[[#This Row],[tnot]])</f>
        <v>754</v>
      </c>
      <c r="AA4">
        <f>IF(event_tree[[#This Row],[ASET_scenario]]="X","extinguish", event_tree[[#This Row],[apt_ASET]]/event_tree[[#This Row],[SOU_inside_RSET]])</f>
        <v>0.49606299212598426</v>
      </c>
      <c r="AB4">
        <f>IF(event_tree[[#This Row],[ASET_scenario]]="X","extinguish",event_tree[[#This Row],[cor_ASET]]/event_tree[[#This Row],[SOU_outside_RSET]])</f>
        <v>0.87412587412587417</v>
      </c>
      <c r="AC4">
        <f>IF(event_tree[[#This Row],[ASET_scenario]]="X","extinguish",event_tree[[#This Row],[cor_ASET]]/event_tree[[#This Row],[remote_RSET]])</f>
        <v>0.16578249336870027</v>
      </c>
      <c r="AD4">
        <f>IF(OR(event_tree[[#This Row],[SOU_inside_ratio]]&lt;1,event_tree[[#This Row],[SOU_outside_ratio]]&lt;1),2)</f>
        <v>2</v>
      </c>
      <c r="AE4">
        <f>IF(event_tree[[#This Row],[remote_ratio]]&lt;1,2*(Inputs!$F$5-1))</f>
        <v>10</v>
      </c>
      <c r="AF4">
        <f>event_tree[[#This Row],[SOU_casualty]]+event_tree[[#This Row],[remote_casualty]]</f>
        <v>12</v>
      </c>
      <c r="AG4">
        <f>event_tree[[#This Row],[fire_frequency]]*event_tree[[#This Row],[probability_of_scenario]]</f>
        <v>5.1305476949999993E-5</v>
      </c>
      <c r="AH4">
        <f>event_tree[[#This Row],[total_casualty]]*event_tree[[#This Row],[fire_probability]]</f>
        <v>6.1566572339999989E-4</v>
      </c>
    </row>
    <row r="5" spans="1:38" x14ac:dyDescent="0.25">
      <c r="A5">
        <v>4</v>
      </c>
      <c r="B5" t="str" cm="1">
        <f t="array" ref="B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" t="str" cm="1">
        <f t="array" ref="C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5" t="str" cm="1">
        <f t="array" ref="D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" t="str" cm="1">
        <f t="array" ref="E5">INDEX(sprinkler[sprinkler],
  1+MOD(QUOTIENT(ROW()-ROW($B$2),
     ROWS(manual_suppression[manual_suppression])*
     ROWS(door_open[door_open])*
     ROWS(smoke_seal[smoke_seal])
  ),
  ROWS(sprinkler[sprinkler]))
)</f>
        <v>Fail</v>
      </c>
      <c r="F5" t="str" cm="1">
        <f t="array" ref="F5">INDEX(manual_suppression[manual_suppression],
  1+MOD(QUOTIENT(ROW()-ROW($B$2),
     ROWS(door_open[door_open])*
     ROWS(smoke_seal[smoke_seal])
  ),
  ROWS(manual_suppression[manual_suppression]))
)</f>
        <v>Fail</v>
      </c>
      <c r="G5" t="str" cm="1">
        <f t="array" ref="G5">INDEX(door_open[door_open],
  1+MOD(QUOTIENT(ROW()-ROW($B$2),
     ROWS(smoke_seal[smoke_seal])
  ),
  ROWS(door_open[door_open]))
)</f>
        <v>Closed</v>
      </c>
      <c r="H5" t="str" cm="1">
        <f t="array" ref="H5">INDEX(smoke_seal[smoke_seal],
  1+MOD(ROW()-ROW($B$2), ROWS(smoke_seal[smoke_seal]))
)</f>
        <v>Success</v>
      </c>
      <c r="I5" t="str">
        <f>IF(event_tree[[#This Row],[door_open]]="Open","Open",IF(event_tree[[#This Row],[smoke_seal]]="Success","Close","Part"))</f>
        <v>Close</v>
      </c>
      <c r="J5">
        <f>IF(B5="apartment",Inputs!$I$7,Inputs!$I$6)</f>
        <v>7.7999999999999996E-3</v>
      </c>
      <c r="K5">
        <f>PRODUCT(
  INDEX(fire_location[Probability],MATCH($B5,fire_location[fire_location],0)),
  INDEX(smoke_detection_apt[Probability],MATCH($C5,smoke_detection_apt[smoke_detection_apt],0)),
  INDEX(smoke_detection_corridor[Probability],MATCH($D5,smoke_detection_corridor[smoke_detection_corridor],0)),
  INDEX(sprinkler[Probability],MATCH($E5,sprinkler[sprinkler],0)),
  INDEX(manual_suppression[Probability],MATCH($F5,manual_suppression[manual_suppression],0)),
  INDEX(door_open[Probability],MATCH($G5,door_open[door_open],0)),
  INDEX(smoke_seal[Probability],MATCH($H5,smoke_seal[smoke_seal],0))
)</f>
        <v>1.221558975E-2</v>
      </c>
      <c r="L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B</v>
      </c>
      <c r="M5" t="str">
        <f>event_tree[[#This Row],[ASET_scenario]]&amp;Inputs!$F$8</f>
        <v>B6</v>
      </c>
      <c r="N5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5">
        <f>IF(OR(event_tree[[#This Row],[sprinkler]]="Extinguish",event_tree[[#This Row],[manual_suppression]]="Suppress"),"extinguish",_xlfn.XLOOKUP(event_tree[[#This Row],[ASET_helper1]],ASET_data[ASET_helper1],ASET_data[cor_ASET]))</f>
        <v>3600</v>
      </c>
      <c r="P5" t="str">
        <f>event_tree[[#This Row],[fire_location]]&amp;Inputs!$F$8</f>
        <v>Apartment6</v>
      </c>
      <c r="Q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5">
        <f>IF(event_tree[[#This Row],[fire_location]]="Apartment",Inputs!$F$11,Inputs!$F$12)</f>
        <v>60</v>
      </c>
      <c r="S5">
        <f>10+Inputs!$F$8</f>
        <v>16</v>
      </c>
      <c r="T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5">
        <f>IF(event_tree[[#This Row],[fire_location]]="Apartment",Inputs!$F$12,Inputs!$F$11)</f>
        <v>600</v>
      </c>
      <c r="V5">
        <f>10+Inputs!$F$8</f>
        <v>16</v>
      </c>
      <c r="W5">
        <f>30</f>
        <v>30</v>
      </c>
      <c r="X5">
        <f>IF(event_tree[[#This Row],[ASET_scenario]]="X","extinguish",
   event_tree[[#This Row],[SOU_tdet]] + event_tree[[#This Row],[SOU_tpre]] + event_tree[[#This Row],[tnot]])</f>
        <v>127</v>
      </c>
      <c r="Y5">
        <f>IF(event_tree[[#This Row],[ASET_scenario]]="X","extinguish",
   event_tree[[#This Row],[SOU_inside_RSET]] + event_tree[[#This Row],[SOU_ttrav]])</f>
        <v>143</v>
      </c>
      <c r="Z5">
        <f>IF(event_tree[[#This Row],[ASET_scenario]]="X","extinguish",
   event_tree[[#This Row],[remote_tdet]] + event_tree[[#This Row],[remote_tpre]] + event_tree[[#This Row],[remote_ttrav]] + event_tree[[#This Row],[tnot]])</f>
        <v>983</v>
      </c>
      <c r="AA5">
        <f>IF(event_tree[[#This Row],[ASET_scenario]]="X","extinguish", event_tree[[#This Row],[apt_ASET]]/event_tree[[#This Row],[SOU_inside_RSET]])</f>
        <v>0.49606299212598426</v>
      </c>
      <c r="AB5">
        <f>IF(event_tree[[#This Row],[ASET_scenario]]="X","extinguish",event_tree[[#This Row],[cor_ASET]]/event_tree[[#This Row],[SOU_outside_RSET]])</f>
        <v>25.174825174825173</v>
      </c>
      <c r="AC5">
        <f>IF(event_tree[[#This Row],[ASET_scenario]]="X","extinguish",event_tree[[#This Row],[cor_ASET]]/event_tree[[#This Row],[remote_RSET]])</f>
        <v>3.6622583926754833</v>
      </c>
      <c r="AD5">
        <f>IF(OR(event_tree[[#This Row],[SOU_inside_ratio]]&lt;1,event_tree[[#This Row],[SOU_outside_ratio]]&lt;1),2)</f>
        <v>2</v>
      </c>
      <c r="AE5" t="b">
        <f>IF(event_tree[[#This Row],[remote_ratio]]&lt;1,2*(Inputs!$F$5-1))</f>
        <v>0</v>
      </c>
      <c r="AF5">
        <f>event_tree[[#This Row],[SOU_casualty]]+event_tree[[#This Row],[remote_casualty]]</f>
        <v>2</v>
      </c>
      <c r="AG5">
        <f>event_tree[[#This Row],[fire_frequency]]*event_tree[[#This Row],[probability_of_scenario]]</f>
        <v>9.5281600050000002E-5</v>
      </c>
      <c r="AH5">
        <f>event_tree[[#This Row],[total_casualty]]*event_tree[[#This Row],[fire_probability]]</f>
        <v>1.905632001E-4</v>
      </c>
    </row>
    <row r="6" spans="1:38" x14ac:dyDescent="0.25">
      <c r="A6">
        <v>5</v>
      </c>
      <c r="B6" t="str" cm="1">
        <f t="array" ref="B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" t="str" cm="1">
        <f t="array" ref="C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6" t="str" cm="1">
        <f t="array" ref="D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" t="str" cm="1">
        <f t="array" ref="E6">INDEX(sprinkler[sprinkler],
  1+MOD(QUOTIENT(ROW()-ROW($B$2),
     ROWS(manual_suppression[manual_suppression])*
     ROWS(door_open[door_open])*
     ROWS(smoke_seal[smoke_seal])
  ),
  ROWS(sprinkler[sprinkler]))
)</f>
        <v>Fail</v>
      </c>
      <c r="F6" t="str" cm="1">
        <f t="array" ref="F6">INDEX(manual_suppression[manual_suppression],
  1+MOD(QUOTIENT(ROW()-ROW($B$2),
     ROWS(door_open[door_open])*
     ROWS(smoke_seal[smoke_seal])
  ),
  ROWS(manual_suppression[manual_suppression]))
)</f>
        <v>Suppress</v>
      </c>
      <c r="G6" t="str" cm="1">
        <f t="array" ref="G6">INDEX(door_open[door_open],
  1+MOD(QUOTIENT(ROW()-ROW($B$2),
     ROWS(smoke_seal[smoke_seal])
  ),
  ROWS(door_open[door_open]))
)</f>
        <v>Open</v>
      </c>
      <c r="H6" t="str" cm="1">
        <f t="array" ref="H6">INDEX(smoke_seal[smoke_seal],
  1+MOD(ROW()-ROW($B$2), ROWS(smoke_seal[smoke_seal]))
)</f>
        <v>Fail</v>
      </c>
      <c r="I6" t="str">
        <f>IF(event_tree[[#This Row],[door_open]]="Open","Open",IF(event_tree[[#This Row],[smoke_seal]]="Success","Close","Part"))</f>
        <v>Open</v>
      </c>
      <c r="J6">
        <f>IF(B6="apartment",Inputs!$I$7,Inputs!$I$6)</f>
        <v>7.7999999999999996E-3</v>
      </c>
      <c r="K6">
        <f>PRODUCT(
  INDEX(fire_location[Probability],MATCH($B6,fire_location[fire_location],0)),
  INDEX(smoke_detection_apt[Probability],MATCH($C6,smoke_detection_apt[smoke_detection_apt],0)),
  INDEX(smoke_detection_corridor[Probability],MATCH($D6,smoke_detection_corridor[smoke_detection_corridor],0)),
  INDEX(sprinkler[Probability],MATCH($E6,sprinkler[sprinkler],0)),
  INDEX(manual_suppression[Probability],MATCH($F6,manual_suppression[manual_suppression],0)),
  INDEX(door_open[Probability],MATCH($G6,door_open[door_open],0)),
  INDEX(smoke_seal[Probability],MATCH($H6,smoke_seal[smoke_seal],0))
)</f>
        <v>5.2352527499999997E-3</v>
      </c>
      <c r="L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6" t="str">
        <f>event_tree[[#This Row],[ASET_scenario]]&amp;Inputs!$F$8</f>
        <v>X6</v>
      </c>
      <c r="N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6" t="str">
        <f>event_tree[[#This Row],[fire_location]]&amp;Inputs!$F$8</f>
        <v>Apartment6</v>
      </c>
      <c r="Q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6">
        <f>IF(event_tree[[#This Row],[fire_location]]="Apartment",Inputs!$F$11,Inputs!$F$12)</f>
        <v>60</v>
      </c>
      <c r="S6">
        <f>10+Inputs!$F$8</f>
        <v>16</v>
      </c>
      <c r="T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6">
        <f>IF(event_tree[[#This Row],[fire_location]]="Apartment",Inputs!$F$12,Inputs!$F$11)</f>
        <v>600</v>
      </c>
      <c r="V6">
        <f>10+Inputs!$F$8</f>
        <v>16</v>
      </c>
      <c r="W6">
        <f>30</f>
        <v>30</v>
      </c>
      <c r="X6" t="str">
        <f>IF(event_tree[[#This Row],[ASET_scenario]]="X","extinguish",
   event_tree[[#This Row],[SOU_tdet]] + event_tree[[#This Row],[SOU_tpre]] + event_tree[[#This Row],[tnot]])</f>
        <v>extinguish</v>
      </c>
      <c r="Y6" t="str">
        <f>IF(event_tree[[#This Row],[ASET_scenario]]="X","extinguish",
   event_tree[[#This Row],[SOU_inside_RSET]] + event_tree[[#This Row],[SOU_ttrav]])</f>
        <v>extinguish</v>
      </c>
      <c r="Z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6" t="str">
        <f>IF(event_tree[[#This Row],[ASET_scenario]]="X","extinguish", event_tree[[#This Row],[apt_ASET]]/event_tree[[#This Row],[SOU_inside_RSET]])</f>
        <v>extinguish</v>
      </c>
      <c r="AB6" t="str">
        <f>IF(event_tree[[#This Row],[ASET_scenario]]="X","extinguish",event_tree[[#This Row],[cor_ASET]]/event_tree[[#This Row],[SOU_outside_RSET]])</f>
        <v>extinguish</v>
      </c>
      <c r="AC6" t="str">
        <f>IF(event_tree[[#This Row],[ASET_scenario]]="X","extinguish",event_tree[[#This Row],[cor_ASET]]/event_tree[[#This Row],[remote_RSET]])</f>
        <v>extinguish</v>
      </c>
      <c r="AD6" t="b">
        <f>IF(OR(event_tree[[#This Row],[SOU_inside_ratio]]&lt;1,event_tree[[#This Row],[SOU_outside_ratio]]&lt;1),2)</f>
        <v>0</v>
      </c>
      <c r="AE6" t="b">
        <f>IF(event_tree[[#This Row],[remote_ratio]]&lt;1,2*(Inputs!$F$5-1))</f>
        <v>0</v>
      </c>
      <c r="AF6">
        <f>event_tree[[#This Row],[SOU_casualty]]+event_tree[[#This Row],[remote_casualty]]</f>
        <v>0</v>
      </c>
      <c r="AG6">
        <f>event_tree[[#This Row],[fire_frequency]]*event_tree[[#This Row],[probability_of_scenario]]</f>
        <v>4.0834971449999994E-5</v>
      </c>
      <c r="AH6">
        <f>event_tree[[#This Row],[total_casualty]]*event_tree[[#This Row],[fire_probability]]</f>
        <v>0</v>
      </c>
    </row>
    <row r="7" spans="1:38" x14ac:dyDescent="0.25">
      <c r="A7">
        <v>6</v>
      </c>
      <c r="B7" t="str" cm="1">
        <f t="array" ref="B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" t="str" cm="1">
        <f t="array" ref="C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7" t="str" cm="1">
        <f t="array" ref="D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7" t="str" cm="1">
        <f t="array" ref="E7">INDEX(sprinkler[sprinkler],
  1+MOD(QUOTIENT(ROW()-ROW($B$2),
     ROWS(manual_suppression[manual_suppression])*
     ROWS(door_open[door_open])*
     ROWS(smoke_seal[smoke_seal])
  ),
  ROWS(sprinkler[sprinkler]))
)</f>
        <v>Fail</v>
      </c>
      <c r="F7" t="str" cm="1">
        <f t="array" ref="F7">INDEX(manual_suppression[manual_suppression],
  1+MOD(QUOTIENT(ROW()-ROW($B$2),
     ROWS(door_open[door_open])*
     ROWS(smoke_seal[smoke_seal])
  ),
  ROWS(manual_suppression[manual_suppression]))
)</f>
        <v>Suppress</v>
      </c>
      <c r="G7" t="str" cm="1">
        <f t="array" ref="G7">INDEX(door_open[door_open],
  1+MOD(QUOTIENT(ROW()-ROW($B$2),
     ROWS(smoke_seal[smoke_seal])
  ),
  ROWS(door_open[door_open]))
)</f>
        <v>Open</v>
      </c>
      <c r="H7" t="str" cm="1">
        <f t="array" ref="H7">INDEX(smoke_seal[smoke_seal],
  1+MOD(ROW()-ROW($B$2), ROWS(smoke_seal[smoke_seal]))
)</f>
        <v>Success</v>
      </c>
      <c r="I7" t="str">
        <f>IF(event_tree[[#This Row],[door_open]]="Open","Open",IF(event_tree[[#This Row],[smoke_seal]]="Success","Close","Part"))</f>
        <v>Open</v>
      </c>
      <c r="J7">
        <f>IF(B7="apartment",Inputs!$I$7,Inputs!$I$6)</f>
        <v>7.7999999999999996E-3</v>
      </c>
      <c r="K7">
        <f>PRODUCT(
  INDEX(fire_location[Probability],MATCH($B7,fire_location[fire_location],0)),
  INDEX(smoke_detection_apt[Probability],MATCH($C7,smoke_detection_apt[smoke_detection_apt],0)),
  INDEX(smoke_detection_corridor[Probability],MATCH($D7,smoke_detection_corridor[smoke_detection_corridor],0)),
  INDEX(sprinkler[Probability],MATCH($E7,sprinkler[sprinkler],0)),
  INDEX(manual_suppression[Probability],MATCH($F7,manual_suppression[manual_suppression],0)),
  INDEX(door_open[Probability],MATCH($G7,door_open[door_open],0)),
  INDEX(smoke_seal[Probability],MATCH($H7,smoke_seal[smoke_seal],0))
)</f>
        <v>9.7226122500000001E-3</v>
      </c>
      <c r="L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7" t="str">
        <f>event_tree[[#This Row],[ASET_scenario]]&amp;Inputs!$F$8</f>
        <v>X6</v>
      </c>
      <c r="N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7" t="str">
        <f>event_tree[[#This Row],[fire_location]]&amp;Inputs!$F$8</f>
        <v>Apartment6</v>
      </c>
      <c r="Q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7">
        <f>IF(event_tree[[#This Row],[fire_location]]="Apartment",Inputs!$F$11,Inputs!$F$12)</f>
        <v>60</v>
      </c>
      <c r="S7">
        <f>10+Inputs!$F$8</f>
        <v>16</v>
      </c>
      <c r="T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7">
        <f>IF(event_tree[[#This Row],[fire_location]]="Apartment",Inputs!$F$12,Inputs!$F$11)</f>
        <v>600</v>
      </c>
      <c r="V7">
        <f>10+Inputs!$F$8</f>
        <v>16</v>
      </c>
      <c r="W7">
        <f>30</f>
        <v>30</v>
      </c>
      <c r="X7" t="str">
        <f>IF(event_tree[[#This Row],[ASET_scenario]]="X","extinguish",
   event_tree[[#This Row],[SOU_tdet]] + event_tree[[#This Row],[SOU_tpre]] + event_tree[[#This Row],[tnot]])</f>
        <v>extinguish</v>
      </c>
      <c r="Y7" t="str">
        <f>IF(event_tree[[#This Row],[ASET_scenario]]="X","extinguish",
   event_tree[[#This Row],[SOU_inside_RSET]] + event_tree[[#This Row],[SOU_ttrav]])</f>
        <v>extinguish</v>
      </c>
      <c r="Z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7" t="str">
        <f>IF(event_tree[[#This Row],[ASET_scenario]]="X","extinguish", event_tree[[#This Row],[apt_ASET]]/event_tree[[#This Row],[SOU_inside_RSET]])</f>
        <v>extinguish</v>
      </c>
      <c r="AB7" t="str">
        <f>IF(event_tree[[#This Row],[ASET_scenario]]="X","extinguish",event_tree[[#This Row],[cor_ASET]]/event_tree[[#This Row],[SOU_outside_RSET]])</f>
        <v>extinguish</v>
      </c>
      <c r="AC7" t="str">
        <f>IF(event_tree[[#This Row],[ASET_scenario]]="X","extinguish",event_tree[[#This Row],[cor_ASET]]/event_tree[[#This Row],[remote_RSET]])</f>
        <v>extinguish</v>
      </c>
      <c r="AD7" t="b">
        <f>IF(OR(event_tree[[#This Row],[SOU_inside_ratio]]&lt;1,event_tree[[#This Row],[SOU_outside_ratio]]&lt;1),2)</f>
        <v>0</v>
      </c>
      <c r="AE7" t="b">
        <f>IF(event_tree[[#This Row],[remote_ratio]]&lt;1,2*(Inputs!$F$5-1))</f>
        <v>0</v>
      </c>
      <c r="AF7">
        <f>event_tree[[#This Row],[SOU_casualty]]+event_tree[[#This Row],[remote_casualty]]</f>
        <v>0</v>
      </c>
      <c r="AG7">
        <f>event_tree[[#This Row],[fire_frequency]]*event_tree[[#This Row],[probability_of_scenario]]</f>
        <v>7.5836375550000003E-5</v>
      </c>
      <c r="AH7">
        <f>event_tree[[#This Row],[total_casualty]]*event_tree[[#This Row],[fire_probability]]</f>
        <v>0</v>
      </c>
    </row>
    <row r="8" spans="1:38" x14ac:dyDescent="0.25">
      <c r="A8">
        <v>7</v>
      </c>
      <c r="B8" t="str" cm="1">
        <f t="array" ref="B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" t="str" cm="1">
        <f t="array" ref="C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8" t="str" cm="1">
        <f t="array" ref="D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8" t="str" cm="1">
        <f t="array" ref="E8">INDEX(sprinkler[sprinkler],
  1+MOD(QUOTIENT(ROW()-ROW($B$2),
     ROWS(manual_suppression[manual_suppression])*
     ROWS(door_open[door_open])*
     ROWS(smoke_seal[smoke_seal])
  ),
  ROWS(sprinkler[sprinkler]))
)</f>
        <v>Fail</v>
      </c>
      <c r="F8" t="str" cm="1">
        <f t="array" ref="F8">INDEX(manual_suppression[manual_suppression],
  1+MOD(QUOTIENT(ROW()-ROW($B$2),
     ROWS(door_open[door_open])*
     ROWS(smoke_seal[smoke_seal])
  ),
  ROWS(manual_suppression[manual_suppression]))
)</f>
        <v>Suppress</v>
      </c>
      <c r="G8" t="str" cm="1">
        <f t="array" ref="G8">INDEX(door_open[door_open],
  1+MOD(QUOTIENT(ROW()-ROW($B$2),
     ROWS(smoke_seal[smoke_seal])
  ),
  ROWS(door_open[door_open]))
)</f>
        <v>Closed</v>
      </c>
      <c r="H8" t="str" cm="1">
        <f t="array" ref="H8">INDEX(smoke_seal[smoke_seal],
  1+MOD(ROW()-ROW($B$2), ROWS(smoke_seal[smoke_seal]))
)</f>
        <v>Fail</v>
      </c>
      <c r="I8" t="str">
        <f>IF(event_tree[[#This Row],[door_open]]="Open","Open",IF(event_tree[[#This Row],[smoke_seal]]="Success","Close","Part"))</f>
        <v>Part</v>
      </c>
      <c r="J8">
        <f>IF(B8="apartment",Inputs!$I$7,Inputs!$I$6)</f>
        <v>7.7999999999999996E-3</v>
      </c>
      <c r="K8">
        <f>PRODUCT(
  INDEX(fire_location[Probability],MATCH($B8,fire_location[fire_location],0)),
  INDEX(smoke_detection_apt[Probability],MATCH($C8,smoke_detection_apt[smoke_detection_apt],0)),
  INDEX(smoke_detection_corridor[Probability],MATCH($D8,smoke_detection_corridor[smoke_detection_corridor],0)),
  INDEX(sprinkler[Probability],MATCH($E8,sprinkler[sprinkler],0)),
  INDEX(manual_suppression[Probability],MATCH($F8,manual_suppression[manual_suppression],0)),
  INDEX(door_open[Probability],MATCH($G8,door_open[door_open],0)),
  INDEX(smoke_seal[Probability],MATCH($H8,smoke_seal[smoke_seal],0))
)</f>
        <v>1.221558975E-2</v>
      </c>
      <c r="L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8" t="str">
        <f>event_tree[[#This Row],[ASET_scenario]]&amp;Inputs!$F$8</f>
        <v>X6</v>
      </c>
      <c r="N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8" t="str">
        <f>event_tree[[#This Row],[fire_location]]&amp;Inputs!$F$8</f>
        <v>Apartment6</v>
      </c>
      <c r="Q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8">
        <f>IF(event_tree[[#This Row],[fire_location]]="Apartment",Inputs!$F$11,Inputs!$F$12)</f>
        <v>60</v>
      </c>
      <c r="S8">
        <f>10+Inputs!$F$8</f>
        <v>16</v>
      </c>
      <c r="T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8">
        <f>IF(event_tree[[#This Row],[fire_location]]="Apartment",Inputs!$F$12,Inputs!$F$11)</f>
        <v>600</v>
      </c>
      <c r="V8">
        <f>10+Inputs!$F$8</f>
        <v>16</v>
      </c>
      <c r="W8">
        <f>30</f>
        <v>30</v>
      </c>
      <c r="X8" t="str">
        <f>IF(event_tree[[#This Row],[ASET_scenario]]="X","extinguish",
   event_tree[[#This Row],[SOU_tdet]] + event_tree[[#This Row],[SOU_tpre]] + event_tree[[#This Row],[tnot]])</f>
        <v>extinguish</v>
      </c>
      <c r="Y8" t="str">
        <f>IF(event_tree[[#This Row],[ASET_scenario]]="X","extinguish",
   event_tree[[#This Row],[SOU_inside_RSET]] + event_tree[[#This Row],[SOU_ttrav]])</f>
        <v>extinguish</v>
      </c>
      <c r="Z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8" t="str">
        <f>IF(event_tree[[#This Row],[ASET_scenario]]="X","extinguish", event_tree[[#This Row],[apt_ASET]]/event_tree[[#This Row],[SOU_inside_RSET]])</f>
        <v>extinguish</v>
      </c>
      <c r="AB8" t="str">
        <f>IF(event_tree[[#This Row],[ASET_scenario]]="X","extinguish",event_tree[[#This Row],[cor_ASET]]/event_tree[[#This Row],[SOU_outside_RSET]])</f>
        <v>extinguish</v>
      </c>
      <c r="AC8" t="str">
        <f>IF(event_tree[[#This Row],[ASET_scenario]]="X","extinguish",event_tree[[#This Row],[cor_ASET]]/event_tree[[#This Row],[remote_RSET]])</f>
        <v>extinguish</v>
      </c>
      <c r="AD8" t="b">
        <f>IF(OR(event_tree[[#This Row],[SOU_inside_ratio]]&lt;1,event_tree[[#This Row],[SOU_outside_ratio]]&lt;1),2)</f>
        <v>0</v>
      </c>
      <c r="AE8" t="b">
        <f>IF(event_tree[[#This Row],[remote_ratio]]&lt;1,2*(Inputs!$F$5-1))</f>
        <v>0</v>
      </c>
      <c r="AF8">
        <f>event_tree[[#This Row],[SOU_casualty]]+event_tree[[#This Row],[remote_casualty]]</f>
        <v>0</v>
      </c>
      <c r="AG8">
        <f>event_tree[[#This Row],[fire_frequency]]*event_tree[[#This Row],[probability_of_scenario]]</f>
        <v>9.5281600050000002E-5</v>
      </c>
      <c r="AH8">
        <f>event_tree[[#This Row],[total_casualty]]*event_tree[[#This Row],[fire_probability]]</f>
        <v>0</v>
      </c>
    </row>
    <row r="9" spans="1:38" x14ac:dyDescent="0.25">
      <c r="A9">
        <v>8</v>
      </c>
      <c r="B9" t="str" cm="1">
        <f t="array" ref="B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9" t="str" cm="1">
        <f t="array" ref="C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9" t="str" cm="1">
        <f t="array" ref="D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9" t="str" cm="1">
        <f t="array" ref="E9">INDEX(sprinkler[sprinkler],
  1+MOD(QUOTIENT(ROW()-ROW($B$2),
     ROWS(manual_suppression[manual_suppression])*
     ROWS(door_open[door_open])*
     ROWS(smoke_seal[smoke_seal])
  ),
  ROWS(sprinkler[sprinkler]))
)</f>
        <v>Fail</v>
      </c>
      <c r="F9" t="str" cm="1">
        <f t="array" ref="F9">INDEX(manual_suppression[manual_suppression],
  1+MOD(QUOTIENT(ROW()-ROW($B$2),
     ROWS(door_open[door_open])*
     ROWS(smoke_seal[smoke_seal])
  ),
  ROWS(manual_suppression[manual_suppression]))
)</f>
        <v>Suppress</v>
      </c>
      <c r="G9" t="str" cm="1">
        <f t="array" ref="G9">INDEX(door_open[door_open],
  1+MOD(QUOTIENT(ROW()-ROW($B$2),
     ROWS(smoke_seal[smoke_seal])
  ),
  ROWS(door_open[door_open]))
)</f>
        <v>Closed</v>
      </c>
      <c r="H9" t="str" cm="1">
        <f t="array" ref="H9">INDEX(smoke_seal[smoke_seal],
  1+MOD(ROW()-ROW($B$2), ROWS(smoke_seal[smoke_seal]))
)</f>
        <v>Success</v>
      </c>
      <c r="I9" t="str">
        <f>IF(event_tree[[#This Row],[door_open]]="Open","Open",IF(event_tree[[#This Row],[smoke_seal]]="Success","Close","Part"))</f>
        <v>Close</v>
      </c>
      <c r="J9">
        <f>IF(B9="apartment",Inputs!$I$7,Inputs!$I$6)</f>
        <v>7.7999999999999996E-3</v>
      </c>
      <c r="K9">
        <f>PRODUCT(
  INDEX(fire_location[Probability],MATCH($B9,fire_location[fire_location],0)),
  INDEX(smoke_detection_apt[Probability],MATCH($C9,smoke_detection_apt[smoke_detection_apt],0)),
  INDEX(smoke_detection_corridor[Probability],MATCH($D9,smoke_detection_corridor[smoke_detection_corridor],0)),
  INDEX(sprinkler[Probability],MATCH($E9,sprinkler[sprinkler],0)),
  INDEX(manual_suppression[Probability],MATCH($F9,manual_suppression[manual_suppression],0)),
  INDEX(door_open[Probability],MATCH($G9,door_open[door_open],0)),
  INDEX(smoke_seal[Probability],MATCH($H9,smoke_seal[smoke_seal],0))
)</f>
        <v>2.2686095250000003E-2</v>
      </c>
      <c r="L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9" t="str">
        <f>event_tree[[#This Row],[ASET_scenario]]&amp;Inputs!$F$8</f>
        <v>X6</v>
      </c>
      <c r="N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9" t="str">
        <f>event_tree[[#This Row],[fire_location]]&amp;Inputs!$F$8</f>
        <v>Apartment6</v>
      </c>
      <c r="Q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9">
        <f>IF(event_tree[[#This Row],[fire_location]]="Apartment",Inputs!$F$11,Inputs!$F$12)</f>
        <v>60</v>
      </c>
      <c r="S9">
        <f>10+Inputs!$F$8</f>
        <v>16</v>
      </c>
      <c r="T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9">
        <f>IF(event_tree[[#This Row],[fire_location]]="Apartment",Inputs!$F$12,Inputs!$F$11)</f>
        <v>600</v>
      </c>
      <c r="V9">
        <f>10+Inputs!$F$8</f>
        <v>16</v>
      </c>
      <c r="W9">
        <f>30</f>
        <v>30</v>
      </c>
      <c r="X9" t="str">
        <f>IF(event_tree[[#This Row],[ASET_scenario]]="X","extinguish",
   event_tree[[#This Row],[SOU_tdet]] + event_tree[[#This Row],[SOU_tpre]] + event_tree[[#This Row],[tnot]])</f>
        <v>extinguish</v>
      </c>
      <c r="Y9" t="str">
        <f>IF(event_tree[[#This Row],[ASET_scenario]]="X","extinguish",
   event_tree[[#This Row],[SOU_inside_RSET]] + event_tree[[#This Row],[SOU_ttrav]])</f>
        <v>extinguish</v>
      </c>
      <c r="Z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9" t="str">
        <f>IF(event_tree[[#This Row],[ASET_scenario]]="X","extinguish", event_tree[[#This Row],[apt_ASET]]/event_tree[[#This Row],[SOU_inside_RSET]])</f>
        <v>extinguish</v>
      </c>
      <c r="AB9" t="str">
        <f>IF(event_tree[[#This Row],[ASET_scenario]]="X","extinguish",event_tree[[#This Row],[cor_ASET]]/event_tree[[#This Row],[SOU_outside_RSET]])</f>
        <v>extinguish</v>
      </c>
      <c r="AC9" t="str">
        <f>IF(event_tree[[#This Row],[ASET_scenario]]="X","extinguish",event_tree[[#This Row],[cor_ASET]]/event_tree[[#This Row],[remote_RSET]])</f>
        <v>extinguish</v>
      </c>
      <c r="AD9" t="b">
        <f>IF(OR(event_tree[[#This Row],[SOU_inside_ratio]]&lt;1,event_tree[[#This Row],[SOU_outside_ratio]]&lt;1),2)</f>
        <v>0</v>
      </c>
      <c r="AE9" t="b">
        <f>IF(event_tree[[#This Row],[remote_ratio]]&lt;1,2*(Inputs!$F$5-1))</f>
        <v>0</v>
      </c>
      <c r="AF9">
        <f>event_tree[[#This Row],[SOU_casualty]]+event_tree[[#This Row],[remote_casualty]]</f>
        <v>0</v>
      </c>
      <c r="AG9">
        <f>event_tree[[#This Row],[fire_frequency]]*event_tree[[#This Row],[probability_of_scenario]]</f>
        <v>1.7695154295000002E-4</v>
      </c>
      <c r="AH9">
        <f>event_tree[[#This Row],[total_casualty]]*event_tree[[#This Row],[fire_probability]]</f>
        <v>0</v>
      </c>
    </row>
    <row r="10" spans="1:38" x14ac:dyDescent="0.25">
      <c r="A10">
        <v>9</v>
      </c>
      <c r="B10" t="str" cm="1">
        <f t="array" ref="B1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0" t="str" cm="1">
        <f t="array" ref="C1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" t="str" cm="1">
        <f t="array" ref="D1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" t="str" cm="1">
        <f t="array" ref="E10">INDEX(sprinkler[sprinkler],
  1+MOD(QUOTIENT(ROW()-ROW($B$2),
     ROWS(manual_suppression[manual_suppression])*
     ROWS(door_open[door_open])*
     ROWS(smoke_seal[smoke_seal])
  ),
  ROWS(sprinkler[sprinkler]))
)</f>
        <v>Control</v>
      </c>
      <c r="F10" t="str" cm="1">
        <f t="array" ref="F10">INDEX(manual_suppression[manual_suppression],
  1+MOD(QUOTIENT(ROW()-ROW($B$2),
     ROWS(door_open[door_open])*
     ROWS(smoke_seal[smoke_seal])
  ),
  ROWS(manual_suppression[manual_suppression]))
)</f>
        <v>Fail</v>
      </c>
      <c r="G10" t="str" cm="1">
        <f t="array" ref="G10">INDEX(door_open[door_open],
  1+MOD(QUOTIENT(ROW()-ROW($B$2),
     ROWS(smoke_seal[smoke_seal])
  ),
  ROWS(door_open[door_open]))
)</f>
        <v>Open</v>
      </c>
      <c r="H10" t="str" cm="1">
        <f t="array" ref="H10">INDEX(smoke_seal[smoke_seal],
  1+MOD(ROW()-ROW($B$2), ROWS(smoke_seal[smoke_seal]))
)</f>
        <v>Fail</v>
      </c>
      <c r="I10" t="str">
        <f>IF(event_tree[[#This Row],[door_open]]="Open","Open",IF(event_tree[[#This Row],[smoke_seal]]="Success","Close","Part"))</f>
        <v>Open</v>
      </c>
      <c r="J10">
        <f>IF(B10="apartment",Inputs!$I$7,Inputs!$I$6)</f>
        <v>7.7999999999999996E-3</v>
      </c>
      <c r="K10">
        <f>PRODUCT(
  INDEX(fire_location[Probability],MATCH($B10,fire_location[fire_location],0)),
  INDEX(smoke_detection_apt[Probability],MATCH($C10,smoke_detection_apt[smoke_detection_apt],0)),
  INDEX(smoke_detection_corridor[Probability],MATCH($D10,smoke_detection_corridor[smoke_detection_corridor],0)),
  INDEX(sprinkler[Probability],MATCH($E10,sprinkler[sprinkler],0)),
  INDEX(manual_suppression[Probability],MATCH($F10,manual_suppression[manual_suppression],0)),
  INDEX(door_open[Probability],MATCH($G10,door_open[door_open],0)),
  INDEX(smoke_seal[Probability],MATCH($H10,smoke_seal[smoke_seal],0))
)</f>
        <v>1.1839725449999996E-2</v>
      </c>
      <c r="L1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D</v>
      </c>
      <c r="M10" t="str">
        <f>event_tree[[#This Row],[ASET_scenario]]&amp;Inputs!$F$8</f>
        <v>D6</v>
      </c>
      <c r="N10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10">
        <f>IF(OR(event_tree[[#This Row],[sprinkler]]="Extinguish",event_tree[[#This Row],[manual_suppression]]="Suppress"),"extinguish",_xlfn.XLOOKUP(event_tree[[#This Row],[ASET_helper1]],ASET_data[ASET_helper1],ASET_data[cor_ASET]))</f>
        <v>95</v>
      </c>
      <c r="P10" t="str">
        <f>event_tree[[#This Row],[fire_location]]&amp;Inputs!$F$8</f>
        <v>Apartment6</v>
      </c>
      <c r="Q1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10">
        <f>IF(event_tree[[#This Row],[fire_location]]="Apartment",Inputs!$F$11,Inputs!$F$12)</f>
        <v>60</v>
      </c>
      <c r="S10">
        <f>10+Inputs!$F$8</f>
        <v>16</v>
      </c>
      <c r="T1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</v>
      </c>
      <c r="U10">
        <f>IF(event_tree[[#This Row],[fire_location]]="Apartment",Inputs!$F$12,Inputs!$F$11)</f>
        <v>600</v>
      </c>
      <c r="V10">
        <f>10+Inputs!$F$8</f>
        <v>16</v>
      </c>
      <c r="W10">
        <f>30</f>
        <v>30</v>
      </c>
      <c r="X10">
        <f>IF(event_tree[[#This Row],[ASET_scenario]]="X","extinguish",
   event_tree[[#This Row],[SOU_tdet]] + event_tree[[#This Row],[SOU_tpre]] + event_tree[[#This Row],[tnot]])</f>
        <v>127</v>
      </c>
      <c r="Y10">
        <f>IF(event_tree[[#This Row],[ASET_scenario]]="X","extinguish",
   event_tree[[#This Row],[SOU_inside_RSET]] + event_tree[[#This Row],[SOU_ttrav]])</f>
        <v>143</v>
      </c>
      <c r="Z10">
        <f>IF(event_tree[[#This Row],[ASET_scenario]]="X","extinguish",
   event_tree[[#This Row],[remote_tdet]] + event_tree[[#This Row],[remote_tpre]] + event_tree[[#This Row],[remote_ttrav]] + event_tree[[#This Row],[tnot]])</f>
        <v>736</v>
      </c>
      <c r="AA10">
        <f>IF(event_tree[[#This Row],[ASET_scenario]]="X","extinguish", event_tree[[#This Row],[apt_ASET]]/event_tree[[#This Row],[SOU_inside_RSET]])</f>
        <v>0.49606299212598426</v>
      </c>
      <c r="AB10">
        <f>IF(event_tree[[#This Row],[ASET_scenario]]="X","extinguish",event_tree[[#This Row],[cor_ASET]]/event_tree[[#This Row],[SOU_outside_RSET]])</f>
        <v>0.66433566433566438</v>
      </c>
      <c r="AC10">
        <f>IF(event_tree[[#This Row],[ASET_scenario]]="X","extinguish",event_tree[[#This Row],[cor_ASET]]/event_tree[[#This Row],[remote_RSET]])</f>
        <v>0.12907608695652173</v>
      </c>
      <c r="AD10">
        <f>IF(OR(event_tree[[#This Row],[SOU_inside_ratio]]&lt;1,event_tree[[#This Row],[SOU_outside_ratio]]&lt;1),2)</f>
        <v>2</v>
      </c>
      <c r="AE10">
        <f>IF(event_tree[[#This Row],[remote_ratio]]&lt;1,2*(Inputs!$F$5-1))</f>
        <v>10</v>
      </c>
      <c r="AF10">
        <f>event_tree[[#This Row],[SOU_casualty]]+event_tree[[#This Row],[remote_casualty]]</f>
        <v>12</v>
      </c>
      <c r="AG10">
        <f>event_tree[[#This Row],[fire_frequency]]*event_tree[[#This Row],[probability_of_scenario]]</f>
        <v>9.2349858509999967E-5</v>
      </c>
      <c r="AH10">
        <f>event_tree[[#This Row],[total_casualty]]*event_tree[[#This Row],[fire_probability]]</f>
        <v>1.1081983021199995E-3</v>
      </c>
    </row>
    <row r="11" spans="1:38" x14ac:dyDescent="0.25">
      <c r="A11">
        <v>10</v>
      </c>
      <c r="B11" t="str" cm="1">
        <f t="array" ref="B1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1" t="str" cm="1">
        <f t="array" ref="C1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" t="str" cm="1">
        <f t="array" ref="D1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" t="str" cm="1">
        <f t="array" ref="E11">INDEX(sprinkler[sprinkler],
  1+MOD(QUOTIENT(ROW()-ROW($B$2),
     ROWS(manual_suppression[manual_suppression])*
     ROWS(door_open[door_open])*
     ROWS(smoke_seal[smoke_seal])
  ),
  ROWS(sprinkler[sprinkler]))
)</f>
        <v>Control</v>
      </c>
      <c r="F11" t="str" cm="1">
        <f t="array" ref="F11">INDEX(manual_suppression[manual_suppression],
  1+MOD(QUOTIENT(ROW()-ROW($B$2),
     ROWS(door_open[door_open])*
     ROWS(smoke_seal[smoke_seal])
  ),
  ROWS(manual_suppression[manual_suppression]))
)</f>
        <v>Fail</v>
      </c>
      <c r="G11" t="str" cm="1">
        <f t="array" ref="G11">INDEX(door_open[door_open],
  1+MOD(QUOTIENT(ROW()-ROW($B$2),
     ROWS(smoke_seal[smoke_seal])
  ),
  ROWS(door_open[door_open]))
)</f>
        <v>Open</v>
      </c>
      <c r="H11" t="str" cm="1">
        <f t="array" ref="H11">INDEX(smoke_seal[smoke_seal],
  1+MOD(ROW()-ROW($B$2), ROWS(smoke_seal[smoke_seal]))
)</f>
        <v>Success</v>
      </c>
      <c r="I11" t="str">
        <f>IF(event_tree[[#This Row],[door_open]]="Open","Open",IF(event_tree[[#This Row],[smoke_seal]]="Success","Close","Part"))</f>
        <v>Open</v>
      </c>
      <c r="J11">
        <f>IF(B11="apartment",Inputs!$I$7,Inputs!$I$6)</f>
        <v>7.7999999999999996E-3</v>
      </c>
      <c r="K11">
        <f>PRODUCT(
  INDEX(fire_location[Probability],MATCH($B11,fire_location[fire_location],0)),
  INDEX(smoke_detection_apt[Probability],MATCH($C11,smoke_detection_apt[smoke_detection_apt],0)),
  INDEX(smoke_detection_corridor[Probability],MATCH($D11,smoke_detection_corridor[smoke_detection_corridor],0)),
  INDEX(sprinkler[Probability],MATCH($E11,sprinkler[sprinkler],0)),
  INDEX(manual_suppression[Probability],MATCH($F11,manual_suppression[manual_suppression],0)),
  INDEX(door_open[Probability],MATCH($G11,door_open[door_open],0)),
  INDEX(smoke_seal[Probability],MATCH($H11,smoke_seal[smoke_seal],0))
)</f>
        <v>2.1988061549999997E-2</v>
      </c>
      <c r="L1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D</v>
      </c>
      <c r="M11" t="str">
        <f>event_tree[[#This Row],[ASET_scenario]]&amp;Inputs!$F$8</f>
        <v>D6</v>
      </c>
      <c r="N11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11">
        <f>IF(OR(event_tree[[#This Row],[sprinkler]]="Extinguish",event_tree[[#This Row],[manual_suppression]]="Suppress"),"extinguish",_xlfn.XLOOKUP(event_tree[[#This Row],[ASET_helper1]],ASET_data[ASET_helper1],ASET_data[cor_ASET]))</f>
        <v>95</v>
      </c>
      <c r="P11" t="str">
        <f>event_tree[[#This Row],[fire_location]]&amp;Inputs!$F$8</f>
        <v>Apartment6</v>
      </c>
      <c r="Q1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11">
        <f>IF(event_tree[[#This Row],[fire_location]]="Apartment",Inputs!$F$11,Inputs!$F$12)</f>
        <v>60</v>
      </c>
      <c r="S11">
        <f>10+Inputs!$F$8</f>
        <v>16</v>
      </c>
      <c r="T1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</v>
      </c>
      <c r="U11">
        <f>IF(event_tree[[#This Row],[fire_location]]="Apartment",Inputs!$F$12,Inputs!$F$11)</f>
        <v>600</v>
      </c>
      <c r="V11">
        <f>10+Inputs!$F$8</f>
        <v>16</v>
      </c>
      <c r="W11">
        <f>30</f>
        <v>30</v>
      </c>
      <c r="X11">
        <f>IF(event_tree[[#This Row],[ASET_scenario]]="X","extinguish",
   event_tree[[#This Row],[SOU_tdet]] + event_tree[[#This Row],[SOU_tpre]] + event_tree[[#This Row],[tnot]])</f>
        <v>127</v>
      </c>
      <c r="Y11">
        <f>IF(event_tree[[#This Row],[ASET_scenario]]="X","extinguish",
   event_tree[[#This Row],[SOU_inside_RSET]] + event_tree[[#This Row],[SOU_ttrav]])</f>
        <v>143</v>
      </c>
      <c r="Z11">
        <f>IF(event_tree[[#This Row],[ASET_scenario]]="X","extinguish",
   event_tree[[#This Row],[remote_tdet]] + event_tree[[#This Row],[remote_tpre]] + event_tree[[#This Row],[remote_ttrav]] + event_tree[[#This Row],[tnot]])</f>
        <v>736</v>
      </c>
      <c r="AA11">
        <f>IF(event_tree[[#This Row],[ASET_scenario]]="X","extinguish", event_tree[[#This Row],[apt_ASET]]/event_tree[[#This Row],[SOU_inside_RSET]])</f>
        <v>0.49606299212598426</v>
      </c>
      <c r="AB11">
        <f>IF(event_tree[[#This Row],[ASET_scenario]]="X","extinguish",event_tree[[#This Row],[cor_ASET]]/event_tree[[#This Row],[SOU_outside_RSET]])</f>
        <v>0.66433566433566438</v>
      </c>
      <c r="AC11">
        <f>IF(event_tree[[#This Row],[ASET_scenario]]="X","extinguish",event_tree[[#This Row],[cor_ASET]]/event_tree[[#This Row],[remote_RSET]])</f>
        <v>0.12907608695652173</v>
      </c>
      <c r="AD11">
        <f>IF(OR(event_tree[[#This Row],[SOU_inside_ratio]]&lt;1,event_tree[[#This Row],[SOU_outside_ratio]]&lt;1),2)</f>
        <v>2</v>
      </c>
      <c r="AE11">
        <f>IF(event_tree[[#This Row],[remote_ratio]]&lt;1,2*(Inputs!$F$5-1))</f>
        <v>10</v>
      </c>
      <c r="AF11">
        <f>event_tree[[#This Row],[SOU_casualty]]+event_tree[[#This Row],[remote_casualty]]</f>
        <v>12</v>
      </c>
      <c r="AG11">
        <f>event_tree[[#This Row],[fire_frequency]]*event_tree[[#This Row],[probability_of_scenario]]</f>
        <v>1.7150688008999996E-4</v>
      </c>
      <c r="AH11">
        <f>event_tree[[#This Row],[total_casualty]]*event_tree[[#This Row],[fire_probability]]</f>
        <v>2.0580825610799994E-3</v>
      </c>
    </row>
    <row r="12" spans="1:38" x14ac:dyDescent="0.25">
      <c r="A12">
        <v>11</v>
      </c>
      <c r="B12" t="str" cm="1">
        <f t="array" ref="B1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2" t="str" cm="1">
        <f t="array" ref="C1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" t="str" cm="1">
        <f t="array" ref="D1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2" t="str" cm="1">
        <f t="array" ref="E12">INDEX(sprinkler[sprinkler],
  1+MOD(QUOTIENT(ROW()-ROW($B$2),
     ROWS(manual_suppression[manual_suppression])*
     ROWS(door_open[door_open])*
     ROWS(smoke_seal[smoke_seal])
  ),
  ROWS(sprinkler[sprinkler]))
)</f>
        <v>Control</v>
      </c>
      <c r="F12" t="str" cm="1">
        <f t="array" ref="F12">INDEX(manual_suppression[manual_suppression],
  1+MOD(QUOTIENT(ROW()-ROW($B$2),
     ROWS(door_open[door_open])*
     ROWS(smoke_seal[smoke_seal])
  ),
  ROWS(manual_suppression[manual_suppression]))
)</f>
        <v>Fail</v>
      </c>
      <c r="G12" t="str" cm="1">
        <f t="array" ref="G12">INDEX(door_open[door_open],
  1+MOD(QUOTIENT(ROW()-ROW($B$2),
     ROWS(smoke_seal[smoke_seal])
  ),
  ROWS(door_open[door_open]))
)</f>
        <v>Closed</v>
      </c>
      <c r="H12" t="str" cm="1">
        <f t="array" ref="H12">INDEX(smoke_seal[smoke_seal],
  1+MOD(ROW()-ROW($B$2), ROWS(smoke_seal[smoke_seal]))
)</f>
        <v>Fail</v>
      </c>
      <c r="I12" t="str">
        <f>IF(event_tree[[#This Row],[door_open]]="Open","Open",IF(event_tree[[#This Row],[smoke_seal]]="Success","Close","Part"))</f>
        <v>Part</v>
      </c>
      <c r="J12">
        <f>IF(B12="apartment",Inputs!$I$7,Inputs!$I$6)</f>
        <v>7.7999999999999996E-3</v>
      </c>
      <c r="K12">
        <f>PRODUCT(
  INDEX(fire_location[Probability],MATCH($B12,fire_location[fire_location],0)),
  INDEX(smoke_detection_apt[Probability],MATCH($C12,smoke_detection_apt[smoke_detection_apt],0)),
  INDEX(smoke_detection_corridor[Probability],MATCH($D12,smoke_detection_corridor[smoke_detection_corridor],0)),
  INDEX(sprinkler[Probability],MATCH($E12,sprinkler[sprinkler],0)),
  INDEX(manual_suppression[Probability],MATCH($F12,manual_suppression[manual_suppression],0)),
  INDEX(door_open[Probability],MATCH($G12,door_open[door_open],0)),
  INDEX(smoke_seal[Probability],MATCH($H12,smoke_seal[smoke_seal],0))
)</f>
        <v>2.7626026049999988E-2</v>
      </c>
      <c r="L1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F</v>
      </c>
      <c r="M12" t="str">
        <f>event_tree[[#This Row],[ASET_scenario]]&amp;Inputs!$F$8</f>
        <v>F6</v>
      </c>
      <c r="N12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12">
        <f>IF(OR(event_tree[[#This Row],[sprinkler]]="Extinguish",event_tree[[#This Row],[manual_suppression]]="Suppress"),"extinguish",_xlfn.XLOOKUP(event_tree[[#This Row],[ASET_helper1]],ASET_data[ASET_helper1],ASET_data[cor_ASET]))</f>
        <v>125</v>
      </c>
      <c r="P12" t="str">
        <f>event_tree[[#This Row],[fire_location]]&amp;Inputs!$F$8</f>
        <v>Apartment6</v>
      </c>
      <c r="Q1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12">
        <f>IF(event_tree[[#This Row],[fire_location]]="Apartment",Inputs!$F$11,Inputs!$F$12)</f>
        <v>60</v>
      </c>
      <c r="S12">
        <f>10+Inputs!$F$8</f>
        <v>16</v>
      </c>
      <c r="T1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108</v>
      </c>
      <c r="U12">
        <f>IF(event_tree[[#This Row],[fire_location]]="Apartment",Inputs!$F$12,Inputs!$F$11)</f>
        <v>600</v>
      </c>
      <c r="V12">
        <f>10+Inputs!$F$8</f>
        <v>16</v>
      </c>
      <c r="W12">
        <f>30</f>
        <v>30</v>
      </c>
      <c r="X12">
        <f>IF(event_tree[[#This Row],[ASET_scenario]]="X","extinguish",
   event_tree[[#This Row],[SOU_tdet]] + event_tree[[#This Row],[SOU_tpre]] + event_tree[[#This Row],[tnot]])</f>
        <v>127</v>
      </c>
      <c r="Y12">
        <f>IF(event_tree[[#This Row],[ASET_scenario]]="X","extinguish",
   event_tree[[#This Row],[SOU_inside_RSET]] + event_tree[[#This Row],[SOU_ttrav]])</f>
        <v>143</v>
      </c>
      <c r="Z12">
        <f>IF(event_tree[[#This Row],[ASET_scenario]]="X","extinguish",
   event_tree[[#This Row],[remote_tdet]] + event_tree[[#This Row],[remote_tpre]] + event_tree[[#This Row],[remote_ttrav]] + event_tree[[#This Row],[tnot]])</f>
        <v>754</v>
      </c>
      <c r="AA12">
        <f>IF(event_tree[[#This Row],[ASET_scenario]]="X","extinguish", event_tree[[#This Row],[apt_ASET]]/event_tree[[#This Row],[SOU_inside_RSET]])</f>
        <v>0.49606299212598426</v>
      </c>
      <c r="AB12">
        <f>IF(event_tree[[#This Row],[ASET_scenario]]="X","extinguish",event_tree[[#This Row],[cor_ASET]]/event_tree[[#This Row],[SOU_outside_RSET]])</f>
        <v>0.87412587412587417</v>
      </c>
      <c r="AC12">
        <f>IF(event_tree[[#This Row],[ASET_scenario]]="X","extinguish",event_tree[[#This Row],[cor_ASET]]/event_tree[[#This Row],[remote_RSET]])</f>
        <v>0.16578249336870027</v>
      </c>
      <c r="AD12">
        <f>IF(OR(event_tree[[#This Row],[SOU_inside_ratio]]&lt;1,event_tree[[#This Row],[SOU_outside_ratio]]&lt;1),2)</f>
        <v>2</v>
      </c>
      <c r="AE12">
        <f>IF(event_tree[[#This Row],[remote_ratio]]&lt;1,2*(Inputs!$F$5-1))</f>
        <v>10</v>
      </c>
      <c r="AF12">
        <f>event_tree[[#This Row],[SOU_casualty]]+event_tree[[#This Row],[remote_casualty]]</f>
        <v>12</v>
      </c>
      <c r="AG12">
        <f>event_tree[[#This Row],[fire_frequency]]*event_tree[[#This Row],[probability_of_scenario]]</f>
        <v>2.154830031899999E-4</v>
      </c>
      <c r="AH12">
        <f>event_tree[[#This Row],[total_casualty]]*event_tree[[#This Row],[fire_probability]]</f>
        <v>2.5857960382799985E-3</v>
      </c>
    </row>
    <row r="13" spans="1:38" x14ac:dyDescent="0.25">
      <c r="A13">
        <v>12</v>
      </c>
      <c r="B13" t="str" cm="1">
        <f t="array" ref="B1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3" t="str" cm="1">
        <f t="array" ref="C1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" t="str" cm="1">
        <f t="array" ref="D1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3" t="str" cm="1">
        <f t="array" ref="E13">INDEX(sprinkler[sprinkler],
  1+MOD(QUOTIENT(ROW()-ROW($B$2),
     ROWS(manual_suppression[manual_suppression])*
     ROWS(door_open[door_open])*
     ROWS(smoke_seal[smoke_seal])
  ),
  ROWS(sprinkler[sprinkler]))
)</f>
        <v>Control</v>
      </c>
      <c r="F13" t="str" cm="1">
        <f t="array" ref="F13">INDEX(manual_suppression[manual_suppression],
  1+MOD(QUOTIENT(ROW()-ROW($B$2),
     ROWS(door_open[door_open])*
     ROWS(smoke_seal[smoke_seal])
  ),
  ROWS(manual_suppression[manual_suppression]))
)</f>
        <v>Fail</v>
      </c>
      <c r="G13" t="str" cm="1">
        <f t="array" ref="G13">INDEX(door_open[door_open],
  1+MOD(QUOTIENT(ROW()-ROW($B$2),
     ROWS(smoke_seal[smoke_seal])
  ),
  ROWS(door_open[door_open]))
)</f>
        <v>Closed</v>
      </c>
      <c r="H13" t="str" cm="1">
        <f t="array" ref="H13">INDEX(smoke_seal[smoke_seal],
  1+MOD(ROW()-ROW($B$2), ROWS(smoke_seal[smoke_seal]))
)</f>
        <v>Success</v>
      </c>
      <c r="I13" t="str">
        <f>IF(event_tree[[#This Row],[door_open]]="Open","Open",IF(event_tree[[#This Row],[smoke_seal]]="Success","Close","Part"))</f>
        <v>Close</v>
      </c>
      <c r="J13">
        <f>IF(B13="apartment",Inputs!$I$7,Inputs!$I$6)</f>
        <v>7.7999999999999996E-3</v>
      </c>
      <c r="K13">
        <f>PRODUCT(
  INDEX(fire_location[Probability],MATCH($B13,fire_location[fire_location],0)),
  INDEX(smoke_detection_apt[Probability],MATCH($C13,smoke_detection_apt[smoke_detection_apt],0)),
  INDEX(smoke_detection_corridor[Probability],MATCH($D13,smoke_detection_corridor[smoke_detection_corridor],0)),
  INDEX(sprinkler[Probability],MATCH($E13,sprinkler[sprinkler],0)),
  INDEX(manual_suppression[Probability],MATCH($F13,manual_suppression[manual_suppression],0)),
  INDEX(door_open[Probability],MATCH($G13,door_open[door_open],0)),
  INDEX(smoke_seal[Probability],MATCH($H13,smoke_seal[smoke_seal],0))
)</f>
        <v>5.1305476949999984E-2</v>
      </c>
      <c r="L1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E</v>
      </c>
      <c r="M13" t="str">
        <f>event_tree[[#This Row],[ASET_scenario]]&amp;Inputs!$F$8</f>
        <v>E6</v>
      </c>
      <c r="N13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13">
        <f>IF(OR(event_tree[[#This Row],[sprinkler]]="Extinguish",event_tree[[#This Row],[manual_suppression]]="Suppress"),"extinguish",_xlfn.XLOOKUP(event_tree[[#This Row],[ASET_helper1]],ASET_data[ASET_helper1],ASET_data[cor_ASET]))</f>
        <v>3600</v>
      </c>
      <c r="P13" t="str">
        <f>event_tree[[#This Row],[fire_location]]&amp;Inputs!$F$8</f>
        <v>Apartment6</v>
      </c>
      <c r="Q1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13">
        <f>IF(event_tree[[#This Row],[fire_location]]="Apartment",Inputs!$F$11,Inputs!$F$12)</f>
        <v>60</v>
      </c>
      <c r="S13">
        <f>10+Inputs!$F$8</f>
        <v>16</v>
      </c>
      <c r="T1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13">
        <f>IF(event_tree[[#This Row],[fire_location]]="Apartment",Inputs!$F$12,Inputs!$F$11)</f>
        <v>600</v>
      </c>
      <c r="V13">
        <f>10+Inputs!$F$8</f>
        <v>16</v>
      </c>
      <c r="W13">
        <f>30</f>
        <v>30</v>
      </c>
      <c r="X13">
        <f>IF(event_tree[[#This Row],[ASET_scenario]]="X","extinguish",
   event_tree[[#This Row],[SOU_tdet]] + event_tree[[#This Row],[SOU_tpre]] + event_tree[[#This Row],[tnot]])</f>
        <v>127</v>
      </c>
      <c r="Y13">
        <f>IF(event_tree[[#This Row],[ASET_scenario]]="X","extinguish",
   event_tree[[#This Row],[SOU_inside_RSET]] + event_tree[[#This Row],[SOU_ttrav]])</f>
        <v>143</v>
      </c>
      <c r="Z13">
        <f>IF(event_tree[[#This Row],[ASET_scenario]]="X","extinguish",
   event_tree[[#This Row],[remote_tdet]] + event_tree[[#This Row],[remote_tpre]] + event_tree[[#This Row],[remote_ttrav]] + event_tree[[#This Row],[tnot]])</f>
        <v>983</v>
      </c>
      <c r="AA13">
        <f>IF(event_tree[[#This Row],[ASET_scenario]]="X","extinguish", event_tree[[#This Row],[apt_ASET]]/event_tree[[#This Row],[SOU_inside_RSET]])</f>
        <v>0.49606299212598426</v>
      </c>
      <c r="AB13">
        <f>IF(event_tree[[#This Row],[ASET_scenario]]="X","extinguish",event_tree[[#This Row],[cor_ASET]]/event_tree[[#This Row],[SOU_outside_RSET]])</f>
        <v>25.174825174825173</v>
      </c>
      <c r="AC13">
        <f>IF(event_tree[[#This Row],[ASET_scenario]]="X","extinguish",event_tree[[#This Row],[cor_ASET]]/event_tree[[#This Row],[remote_RSET]])</f>
        <v>3.6622583926754833</v>
      </c>
      <c r="AD13">
        <f>IF(OR(event_tree[[#This Row],[SOU_inside_ratio]]&lt;1,event_tree[[#This Row],[SOU_outside_ratio]]&lt;1),2)</f>
        <v>2</v>
      </c>
      <c r="AE13" t="b">
        <f>IF(event_tree[[#This Row],[remote_ratio]]&lt;1,2*(Inputs!$F$5-1))</f>
        <v>0</v>
      </c>
      <c r="AF13">
        <f>event_tree[[#This Row],[SOU_casualty]]+event_tree[[#This Row],[remote_casualty]]</f>
        <v>2</v>
      </c>
      <c r="AG13">
        <f>event_tree[[#This Row],[fire_frequency]]*event_tree[[#This Row],[probability_of_scenario]]</f>
        <v>4.0018272020999983E-4</v>
      </c>
      <c r="AH13">
        <f>event_tree[[#This Row],[total_casualty]]*event_tree[[#This Row],[fire_probability]]</f>
        <v>8.0036544041999966E-4</v>
      </c>
    </row>
    <row r="14" spans="1:38" x14ac:dyDescent="0.25">
      <c r="A14">
        <v>13</v>
      </c>
      <c r="B14" t="str" cm="1">
        <f t="array" ref="B1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4" t="str" cm="1">
        <f t="array" ref="C1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4" t="str" cm="1">
        <f t="array" ref="D1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4" t="str" cm="1">
        <f t="array" ref="E14">INDEX(sprinkler[sprinkler],
  1+MOD(QUOTIENT(ROW()-ROW($B$2),
     ROWS(manual_suppression[manual_suppression])*
     ROWS(door_open[door_open])*
     ROWS(smoke_seal[smoke_seal])
  ),
  ROWS(sprinkler[sprinkler]))
)</f>
        <v>Control</v>
      </c>
      <c r="F14" t="str" cm="1">
        <f t="array" ref="F14">INDEX(manual_suppression[manual_suppression],
  1+MOD(QUOTIENT(ROW()-ROW($B$2),
     ROWS(door_open[door_open])*
     ROWS(smoke_seal[smoke_seal])
  ),
  ROWS(manual_suppression[manual_suppression]))
)</f>
        <v>Suppress</v>
      </c>
      <c r="G14" t="str" cm="1">
        <f t="array" ref="G14">INDEX(door_open[door_open],
  1+MOD(QUOTIENT(ROW()-ROW($B$2),
     ROWS(smoke_seal[smoke_seal])
  ),
  ROWS(door_open[door_open]))
)</f>
        <v>Open</v>
      </c>
      <c r="H14" t="str" cm="1">
        <f t="array" ref="H14">INDEX(smoke_seal[smoke_seal],
  1+MOD(ROW()-ROW($B$2), ROWS(smoke_seal[smoke_seal]))
)</f>
        <v>Fail</v>
      </c>
      <c r="I14" t="str">
        <f>IF(event_tree[[#This Row],[door_open]]="Open","Open",IF(event_tree[[#This Row],[smoke_seal]]="Success","Close","Part"))</f>
        <v>Open</v>
      </c>
      <c r="J14">
        <f>IF(B14="apartment",Inputs!$I$7,Inputs!$I$6)</f>
        <v>7.7999999999999996E-3</v>
      </c>
      <c r="K14">
        <f>PRODUCT(
  INDEX(fire_location[Probability],MATCH($B14,fire_location[fire_location],0)),
  INDEX(smoke_detection_apt[Probability],MATCH($C14,smoke_detection_apt[smoke_detection_apt],0)),
  INDEX(smoke_detection_corridor[Probability],MATCH($D14,smoke_detection_corridor[smoke_detection_corridor],0)),
  INDEX(sprinkler[Probability],MATCH($E14,sprinkler[sprinkler],0)),
  INDEX(manual_suppression[Probability],MATCH($F14,manual_suppression[manual_suppression],0)),
  INDEX(door_open[Probability],MATCH($G14,door_open[door_open],0)),
  INDEX(smoke_seal[Probability],MATCH($H14,smoke_seal[smoke_seal],0))
)</f>
        <v>2.1988061549999993E-2</v>
      </c>
      <c r="L1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4" t="str">
        <f>event_tree[[#This Row],[ASET_scenario]]&amp;Inputs!$F$8</f>
        <v>X6</v>
      </c>
      <c r="N1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4" t="str">
        <f>event_tree[[#This Row],[fire_location]]&amp;Inputs!$F$8</f>
        <v>Apartment6</v>
      </c>
      <c r="Q1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4">
        <f>IF(event_tree[[#This Row],[fire_location]]="Apartment",Inputs!$F$11,Inputs!$F$12)</f>
        <v>60</v>
      </c>
      <c r="S14">
        <f>10+Inputs!$F$8</f>
        <v>16</v>
      </c>
      <c r="T1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4">
        <f>IF(event_tree[[#This Row],[fire_location]]="Apartment",Inputs!$F$12,Inputs!$F$11)</f>
        <v>600</v>
      </c>
      <c r="V14">
        <f>10+Inputs!$F$8</f>
        <v>16</v>
      </c>
      <c r="W14">
        <f>30</f>
        <v>30</v>
      </c>
      <c r="X14" t="str">
        <f>IF(event_tree[[#This Row],[ASET_scenario]]="X","extinguish",
   event_tree[[#This Row],[SOU_tdet]] + event_tree[[#This Row],[SOU_tpre]] + event_tree[[#This Row],[tnot]])</f>
        <v>extinguish</v>
      </c>
      <c r="Y14" t="str">
        <f>IF(event_tree[[#This Row],[ASET_scenario]]="X","extinguish",
   event_tree[[#This Row],[SOU_inside_RSET]] + event_tree[[#This Row],[SOU_ttrav]])</f>
        <v>extinguish</v>
      </c>
      <c r="Z1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4" t="str">
        <f>IF(event_tree[[#This Row],[ASET_scenario]]="X","extinguish", event_tree[[#This Row],[apt_ASET]]/event_tree[[#This Row],[SOU_inside_RSET]])</f>
        <v>extinguish</v>
      </c>
      <c r="AB14" t="str">
        <f>IF(event_tree[[#This Row],[ASET_scenario]]="X","extinguish",event_tree[[#This Row],[cor_ASET]]/event_tree[[#This Row],[SOU_outside_RSET]])</f>
        <v>extinguish</v>
      </c>
      <c r="AC14" t="str">
        <f>IF(event_tree[[#This Row],[ASET_scenario]]="X","extinguish",event_tree[[#This Row],[cor_ASET]]/event_tree[[#This Row],[remote_RSET]])</f>
        <v>extinguish</v>
      </c>
      <c r="AD14" t="b">
        <f>IF(OR(event_tree[[#This Row],[SOU_inside_ratio]]&lt;1,event_tree[[#This Row],[SOU_outside_ratio]]&lt;1),2)</f>
        <v>0</v>
      </c>
      <c r="AE14" t="b">
        <f>IF(event_tree[[#This Row],[remote_ratio]]&lt;1,2*(Inputs!$F$5-1))</f>
        <v>0</v>
      </c>
      <c r="AF14">
        <f>event_tree[[#This Row],[SOU_casualty]]+event_tree[[#This Row],[remote_casualty]]</f>
        <v>0</v>
      </c>
      <c r="AG14">
        <f>event_tree[[#This Row],[fire_frequency]]*event_tree[[#This Row],[probability_of_scenario]]</f>
        <v>1.7150688008999994E-4</v>
      </c>
      <c r="AH14">
        <f>event_tree[[#This Row],[total_casualty]]*event_tree[[#This Row],[fire_probability]]</f>
        <v>0</v>
      </c>
    </row>
    <row r="15" spans="1:38" x14ac:dyDescent="0.25">
      <c r="A15">
        <v>14</v>
      </c>
      <c r="B15" t="str" cm="1">
        <f t="array" ref="B1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5" t="str" cm="1">
        <f t="array" ref="C1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5" t="str" cm="1">
        <f t="array" ref="D1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" t="str" cm="1">
        <f t="array" ref="E15">INDEX(sprinkler[sprinkler],
  1+MOD(QUOTIENT(ROW()-ROW($B$2),
     ROWS(manual_suppression[manual_suppression])*
     ROWS(door_open[door_open])*
     ROWS(smoke_seal[smoke_seal])
  ),
  ROWS(sprinkler[sprinkler]))
)</f>
        <v>Control</v>
      </c>
      <c r="F15" t="str" cm="1">
        <f t="array" ref="F15">INDEX(manual_suppression[manual_suppression],
  1+MOD(QUOTIENT(ROW()-ROW($B$2),
     ROWS(door_open[door_open])*
     ROWS(smoke_seal[smoke_seal])
  ),
  ROWS(manual_suppression[manual_suppression]))
)</f>
        <v>Suppress</v>
      </c>
      <c r="G15" t="str" cm="1">
        <f t="array" ref="G15">INDEX(door_open[door_open],
  1+MOD(QUOTIENT(ROW()-ROW($B$2),
     ROWS(smoke_seal[smoke_seal])
  ),
  ROWS(door_open[door_open]))
)</f>
        <v>Open</v>
      </c>
      <c r="H15" t="str" cm="1">
        <f t="array" ref="H15">INDEX(smoke_seal[smoke_seal],
  1+MOD(ROW()-ROW($B$2), ROWS(smoke_seal[smoke_seal]))
)</f>
        <v>Success</v>
      </c>
      <c r="I15" t="str">
        <f>IF(event_tree[[#This Row],[door_open]]="Open","Open",IF(event_tree[[#This Row],[smoke_seal]]="Success","Close","Part"))</f>
        <v>Open</v>
      </c>
      <c r="J15">
        <f>IF(B15="apartment",Inputs!$I$7,Inputs!$I$6)</f>
        <v>7.7999999999999996E-3</v>
      </c>
      <c r="K15">
        <f>PRODUCT(
  INDEX(fire_location[Probability],MATCH($B15,fire_location[fire_location],0)),
  INDEX(smoke_detection_apt[Probability],MATCH($C15,smoke_detection_apt[smoke_detection_apt],0)),
  INDEX(smoke_detection_corridor[Probability],MATCH($D15,smoke_detection_corridor[smoke_detection_corridor],0)),
  INDEX(sprinkler[Probability],MATCH($E15,sprinkler[sprinkler],0)),
  INDEX(manual_suppression[Probability],MATCH($F15,manual_suppression[manual_suppression],0)),
  INDEX(door_open[Probability],MATCH($G15,door_open[door_open],0)),
  INDEX(smoke_seal[Probability],MATCH($H15,smoke_seal[smoke_seal],0))
)</f>
        <v>4.0834971449999993E-2</v>
      </c>
      <c r="L1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5" t="str">
        <f>event_tree[[#This Row],[ASET_scenario]]&amp;Inputs!$F$8</f>
        <v>X6</v>
      </c>
      <c r="N1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5" t="str">
        <f>event_tree[[#This Row],[fire_location]]&amp;Inputs!$F$8</f>
        <v>Apartment6</v>
      </c>
      <c r="Q1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5">
        <f>IF(event_tree[[#This Row],[fire_location]]="Apartment",Inputs!$F$11,Inputs!$F$12)</f>
        <v>60</v>
      </c>
      <c r="S15">
        <f>10+Inputs!$F$8</f>
        <v>16</v>
      </c>
      <c r="T1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5">
        <f>IF(event_tree[[#This Row],[fire_location]]="Apartment",Inputs!$F$12,Inputs!$F$11)</f>
        <v>600</v>
      </c>
      <c r="V15">
        <f>10+Inputs!$F$8</f>
        <v>16</v>
      </c>
      <c r="W15">
        <f>30</f>
        <v>30</v>
      </c>
      <c r="X15" t="str">
        <f>IF(event_tree[[#This Row],[ASET_scenario]]="X","extinguish",
   event_tree[[#This Row],[SOU_tdet]] + event_tree[[#This Row],[SOU_tpre]] + event_tree[[#This Row],[tnot]])</f>
        <v>extinguish</v>
      </c>
      <c r="Y15" t="str">
        <f>IF(event_tree[[#This Row],[ASET_scenario]]="X","extinguish",
   event_tree[[#This Row],[SOU_inside_RSET]] + event_tree[[#This Row],[SOU_ttrav]])</f>
        <v>extinguish</v>
      </c>
      <c r="Z1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5" t="str">
        <f>IF(event_tree[[#This Row],[ASET_scenario]]="X","extinguish", event_tree[[#This Row],[apt_ASET]]/event_tree[[#This Row],[SOU_inside_RSET]])</f>
        <v>extinguish</v>
      </c>
      <c r="AB15" t="str">
        <f>IF(event_tree[[#This Row],[ASET_scenario]]="X","extinguish",event_tree[[#This Row],[cor_ASET]]/event_tree[[#This Row],[SOU_outside_RSET]])</f>
        <v>extinguish</v>
      </c>
      <c r="AC15" t="str">
        <f>IF(event_tree[[#This Row],[ASET_scenario]]="X","extinguish",event_tree[[#This Row],[cor_ASET]]/event_tree[[#This Row],[remote_RSET]])</f>
        <v>extinguish</v>
      </c>
      <c r="AD15" t="b">
        <f>IF(OR(event_tree[[#This Row],[SOU_inside_ratio]]&lt;1,event_tree[[#This Row],[SOU_outside_ratio]]&lt;1),2)</f>
        <v>0</v>
      </c>
      <c r="AE15" t="b">
        <f>IF(event_tree[[#This Row],[remote_ratio]]&lt;1,2*(Inputs!$F$5-1))</f>
        <v>0</v>
      </c>
      <c r="AF15">
        <f>event_tree[[#This Row],[SOU_casualty]]+event_tree[[#This Row],[remote_casualty]]</f>
        <v>0</v>
      </c>
      <c r="AG15">
        <f>event_tree[[#This Row],[fire_frequency]]*event_tree[[#This Row],[probability_of_scenario]]</f>
        <v>3.1851277730999991E-4</v>
      </c>
      <c r="AH15">
        <f>event_tree[[#This Row],[total_casualty]]*event_tree[[#This Row],[fire_probability]]</f>
        <v>0</v>
      </c>
    </row>
    <row r="16" spans="1:38" x14ac:dyDescent="0.25">
      <c r="A16">
        <v>15</v>
      </c>
      <c r="B16" t="str" cm="1">
        <f t="array" ref="B1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6" t="str" cm="1">
        <f t="array" ref="C1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6" t="str" cm="1">
        <f t="array" ref="D1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" t="str" cm="1">
        <f t="array" ref="E16">INDEX(sprinkler[sprinkler],
  1+MOD(QUOTIENT(ROW()-ROW($B$2),
     ROWS(manual_suppression[manual_suppression])*
     ROWS(door_open[door_open])*
     ROWS(smoke_seal[smoke_seal])
  ),
  ROWS(sprinkler[sprinkler]))
)</f>
        <v>Control</v>
      </c>
      <c r="F16" t="str" cm="1">
        <f t="array" ref="F16">INDEX(manual_suppression[manual_suppression],
  1+MOD(QUOTIENT(ROW()-ROW($B$2),
     ROWS(door_open[door_open])*
     ROWS(smoke_seal[smoke_seal])
  ),
  ROWS(manual_suppression[manual_suppression]))
)</f>
        <v>Suppress</v>
      </c>
      <c r="G16" t="str" cm="1">
        <f t="array" ref="G16">INDEX(door_open[door_open],
  1+MOD(QUOTIENT(ROW()-ROW($B$2),
     ROWS(smoke_seal[smoke_seal])
  ),
  ROWS(door_open[door_open]))
)</f>
        <v>Closed</v>
      </c>
      <c r="H16" t="str" cm="1">
        <f t="array" ref="H16">INDEX(smoke_seal[smoke_seal],
  1+MOD(ROW()-ROW($B$2), ROWS(smoke_seal[smoke_seal]))
)</f>
        <v>Fail</v>
      </c>
      <c r="I16" t="str">
        <f>IF(event_tree[[#This Row],[door_open]]="Open","Open",IF(event_tree[[#This Row],[smoke_seal]]="Success","Close","Part"))</f>
        <v>Part</v>
      </c>
      <c r="J16">
        <f>IF(B16="apartment",Inputs!$I$7,Inputs!$I$6)</f>
        <v>7.7999999999999996E-3</v>
      </c>
      <c r="K16">
        <f>PRODUCT(
  INDEX(fire_location[Probability],MATCH($B16,fire_location[fire_location],0)),
  INDEX(smoke_detection_apt[Probability],MATCH($C16,smoke_detection_apt[smoke_detection_apt],0)),
  INDEX(smoke_detection_corridor[Probability],MATCH($D16,smoke_detection_corridor[smoke_detection_corridor],0)),
  INDEX(sprinkler[Probability],MATCH($E16,sprinkler[sprinkler],0)),
  INDEX(manual_suppression[Probability],MATCH($F16,manual_suppression[manual_suppression],0)),
  INDEX(door_open[Probability],MATCH($G16,door_open[door_open],0)),
  INDEX(smoke_seal[Probability],MATCH($H16,smoke_seal[smoke_seal],0))
)</f>
        <v>5.1305476949999984E-2</v>
      </c>
      <c r="L1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" t="str">
        <f>event_tree[[#This Row],[ASET_scenario]]&amp;Inputs!$F$8</f>
        <v>X6</v>
      </c>
      <c r="N1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" t="str">
        <f>event_tree[[#This Row],[fire_location]]&amp;Inputs!$F$8</f>
        <v>Apartment6</v>
      </c>
      <c r="Q1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">
        <f>IF(event_tree[[#This Row],[fire_location]]="Apartment",Inputs!$F$11,Inputs!$F$12)</f>
        <v>60</v>
      </c>
      <c r="S16">
        <f>10+Inputs!$F$8</f>
        <v>16</v>
      </c>
      <c r="T1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">
        <f>IF(event_tree[[#This Row],[fire_location]]="Apartment",Inputs!$F$12,Inputs!$F$11)</f>
        <v>600</v>
      </c>
      <c r="V16">
        <f>10+Inputs!$F$8</f>
        <v>16</v>
      </c>
      <c r="W16">
        <f>30</f>
        <v>30</v>
      </c>
      <c r="X16" t="str">
        <f>IF(event_tree[[#This Row],[ASET_scenario]]="X","extinguish",
   event_tree[[#This Row],[SOU_tdet]] + event_tree[[#This Row],[SOU_tpre]] + event_tree[[#This Row],[tnot]])</f>
        <v>extinguish</v>
      </c>
      <c r="Y16" t="str">
        <f>IF(event_tree[[#This Row],[ASET_scenario]]="X","extinguish",
   event_tree[[#This Row],[SOU_inside_RSET]] + event_tree[[#This Row],[SOU_ttrav]])</f>
        <v>extinguish</v>
      </c>
      <c r="Z1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" t="str">
        <f>IF(event_tree[[#This Row],[ASET_scenario]]="X","extinguish", event_tree[[#This Row],[apt_ASET]]/event_tree[[#This Row],[SOU_inside_RSET]])</f>
        <v>extinguish</v>
      </c>
      <c r="AB16" t="str">
        <f>IF(event_tree[[#This Row],[ASET_scenario]]="X","extinguish",event_tree[[#This Row],[cor_ASET]]/event_tree[[#This Row],[SOU_outside_RSET]])</f>
        <v>extinguish</v>
      </c>
      <c r="AC16" t="str">
        <f>IF(event_tree[[#This Row],[ASET_scenario]]="X","extinguish",event_tree[[#This Row],[cor_ASET]]/event_tree[[#This Row],[remote_RSET]])</f>
        <v>extinguish</v>
      </c>
      <c r="AD16" t="b">
        <f>IF(OR(event_tree[[#This Row],[SOU_inside_ratio]]&lt;1,event_tree[[#This Row],[SOU_outside_ratio]]&lt;1),2)</f>
        <v>0</v>
      </c>
      <c r="AE16" t="b">
        <f>IF(event_tree[[#This Row],[remote_ratio]]&lt;1,2*(Inputs!$F$5-1))</f>
        <v>0</v>
      </c>
      <c r="AF16">
        <f>event_tree[[#This Row],[SOU_casualty]]+event_tree[[#This Row],[remote_casualty]]</f>
        <v>0</v>
      </c>
      <c r="AG16">
        <f>event_tree[[#This Row],[fire_frequency]]*event_tree[[#This Row],[probability_of_scenario]]</f>
        <v>4.0018272020999983E-4</v>
      </c>
      <c r="AH16">
        <f>event_tree[[#This Row],[total_casualty]]*event_tree[[#This Row],[fire_probability]]</f>
        <v>0</v>
      </c>
    </row>
    <row r="17" spans="1:34" x14ac:dyDescent="0.25">
      <c r="A17">
        <v>16</v>
      </c>
      <c r="B17" t="str" cm="1">
        <f t="array" ref="B1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7" t="str" cm="1">
        <f t="array" ref="C1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7" t="str" cm="1">
        <f t="array" ref="D1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7" t="str" cm="1">
        <f t="array" ref="E17">INDEX(sprinkler[sprinkler],
  1+MOD(QUOTIENT(ROW()-ROW($B$2),
     ROWS(manual_suppression[manual_suppression])*
     ROWS(door_open[door_open])*
     ROWS(smoke_seal[smoke_seal])
  ),
  ROWS(sprinkler[sprinkler]))
)</f>
        <v>Control</v>
      </c>
      <c r="F17" t="str" cm="1">
        <f t="array" ref="F17">INDEX(manual_suppression[manual_suppression],
  1+MOD(QUOTIENT(ROW()-ROW($B$2),
     ROWS(door_open[door_open])*
     ROWS(smoke_seal[smoke_seal])
  ),
  ROWS(manual_suppression[manual_suppression]))
)</f>
        <v>Suppress</v>
      </c>
      <c r="G17" t="str" cm="1">
        <f t="array" ref="G17">INDEX(door_open[door_open],
  1+MOD(QUOTIENT(ROW()-ROW($B$2),
     ROWS(smoke_seal[smoke_seal])
  ),
  ROWS(door_open[door_open]))
)</f>
        <v>Closed</v>
      </c>
      <c r="H17" t="str" cm="1">
        <f t="array" ref="H17">INDEX(smoke_seal[smoke_seal],
  1+MOD(ROW()-ROW($B$2), ROWS(smoke_seal[smoke_seal]))
)</f>
        <v>Success</v>
      </c>
      <c r="I17" t="str">
        <f>IF(event_tree[[#This Row],[door_open]]="Open","Open",IF(event_tree[[#This Row],[smoke_seal]]="Success","Close","Part"))</f>
        <v>Close</v>
      </c>
      <c r="J17">
        <f>IF(B17="apartment",Inputs!$I$7,Inputs!$I$6)</f>
        <v>7.7999999999999996E-3</v>
      </c>
      <c r="K17">
        <f>PRODUCT(
  INDEX(fire_location[Probability],MATCH($B17,fire_location[fire_location],0)),
  INDEX(smoke_detection_apt[Probability],MATCH($C17,smoke_detection_apt[smoke_detection_apt],0)),
  INDEX(smoke_detection_corridor[Probability],MATCH($D17,smoke_detection_corridor[smoke_detection_corridor],0)),
  INDEX(sprinkler[Probability],MATCH($E17,sprinkler[sprinkler],0)),
  INDEX(manual_suppression[Probability],MATCH($F17,manual_suppression[manual_suppression],0)),
  INDEX(door_open[Probability],MATCH($G17,door_open[door_open],0)),
  INDEX(smoke_seal[Probability],MATCH($H17,smoke_seal[smoke_seal],0))
)</f>
        <v>9.528160004999997E-2</v>
      </c>
      <c r="L1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7" t="str">
        <f>event_tree[[#This Row],[ASET_scenario]]&amp;Inputs!$F$8</f>
        <v>X6</v>
      </c>
      <c r="N1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7" t="str">
        <f>event_tree[[#This Row],[fire_location]]&amp;Inputs!$F$8</f>
        <v>Apartment6</v>
      </c>
      <c r="Q1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7">
        <f>IF(event_tree[[#This Row],[fire_location]]="Apartment",Inputs!$F$11,Inputs!$F$12)</f>
        <v>60</v>
      </c>
      <c r="S17">
        <f>10+Inputs!$F$8</f>
        <v>16</v>
      </c>
      <c r="T1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7">
        <f>IF(event_tree[[#This Row],[fire_location]]="Apartment",Inputs!$F$12,Inputs!$F$11)</f>
        <v>600</v>
      </c>
      <c r="V17">
        <f>10+Inputs!$F$8</f>
        <v>16</v>
      </c>
      <c r="W17">
        <f>30</f>
        <v>30</v>
      </c>
      <c r="X17" t="str">
        <f>IF(event_tree[[#This Row],[ASET_scenario]]="X","extinguish",
   event_tree[[#This Row],[SOU_tdet]] + event_tree[[#This Row],[SOU_tpre]] + event_tree[[#This Row],[tnot]])</f>
        <v>extinguish</v>
      </c>
      <c r="Y17" t="str">
        <f>IF(event_tree[[#This Row],[ASET_scenario]]="X","extinguish",
   event_tree[[#This Row],[SOU_inside_RSET]] + event_tree[[#This Row],[SOU_ttrav]])</f>
        <v>extinguish</v>
      </c>
      <c r="Z1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7" t="str">
        <f>IF(event_tree[[#This Row],[ASET_scenario]]="X","extinguish", event_tree[[#This Row],[apt_ASET]]/event_tree[[#This Row],[SOU_inside_RSET]])</f>
        <v>extinguish</v>
      </c>
      <c r="AB17" t="str">
        <f>IF(event_tree[[#This Row],[ASET_scenario]]="X","extinguish",event_tree[[#This Row],[cor_ASET]]/event_tree[[#This Row],[SOU_outside_RSET]])</f>
        <v>extinguish</v>
      </c>
      <c r="AC17" t="str">
        <f>IF(event_tree[[#This Row],[ASET_scenario]]="X","extinguish",event_tree[[#This Row],[cor_ASET]]/event_tree[[#This Row],[remote_RSET]])</f>
        <v>extinguish</v>
      </c>
      <c r="AD17" t="b">
        <f>IF(OR(event_tree[[#This Row],[SOU_inside_ratio]]&lt;1,event_tree[[#This Row],[SOU_outside_ratio]]&lt;1),2)</f>
        <v>0</v>
      </c>
      <c r="AE17" t="b">
        <f>IF(event_tree[[#This Row],[remote_ratio]]&lt;1,2*(Inputs!$F$5-1))</f>
        <v>0</v>
      </c>
      <c r="AF17">
        <f>event_tree[[#This Row],[SOU_casualty]]+event_tree[[#This Row],[remote_casualty]]</f>
        <v>0</v>
      </c>
      <c r="AG17">
        <f>event_tree[[#This Row],[fire_frequency]]*event_tree[[#This Row],[probability_of_scenario]]</f>
        <v>7.431964803899997E-4</v>
      </c>
      <c r="AH17">
        <f>event_tree[[#This Row],[total_casualty]]*event_tree[[#This Row],[fire_probability]]</f>
        <v>0</v>
      </c>
    </row>
    <row r="18" spans="1:34" x14ac:dyDescent="0.25">
      <c r="A18">
        <v>17</v>
      </c>
      <c r="B18" t="str" cm="1">
        <f t="array" ref="B1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8" t="str" cm="1">
        <f t="array" ref="C1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8" t="str" cm="1">
        <f t="array" ref="D1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8" t="str" cm="1">
        <f t="array" ref="E18">INDEX(sprinkler[sprinkler],
  1+MOD(QUOTIENT(ROW()-ROW($B$2),
     ROWS(manual_suppression[manual_suppression])*
     ROWS(door_open[door_open])*
     ROWS(smoke_seal[smoke_seal])
  ),
  ROWS(sprinkler[sprinkler]))
)</f>
        <v>Extinguish</v>
      </c>
      <c r="F18" t="str" cm="1">
        <f t="array" ref="F18">INDEX(manual_suppression[manual_suppression],
  1+MOD(QUOTIENT(ROW()-ROW($B$2),
     ROWS(door_open[door_open])*
     ROWS(smoke_seal[smoke_seal])
  ),
  ROWS(manual_suppression[manual_suppression]))
)</f>
        <v>Fail</v>
      </c>
      <c r="G18" t="str" cm="1">
        <f t="array" ref="G18">INDEX(door_open[door_open],
  1+MOD(QUOTIENT(ROW()-ROW($B$2),
     ROWS(smoke_seal[smoke_seal])
  ),
  ROWS(door_open[door_open]))
)</f>
        <v>Open</v>
      </c>
      <c r="H18" t="str" cm="1">
        <f t="array" ref="H18">INDEX(smoke_seal[smoke_seal],
  1+MOD(ROW()-ROW($B$2), ROWS(smoke_seal[smoke_seal]))
)</f>
        <v>Fail</v>
      </c>
      <c r="I18" t="str">
        <f>IF(event_tree[[#This Row],[door_open]]="Open","Open",IF(event_tree[[#This Row],[smoke_seal]]="Success","Close","Part"))</f>
        <v>Open</v>
      </c>
      <c r="J18">
        <f>IF(B18="apartment",Inputs!$I$7,Inputs!$I$6)</f>
        <v>7.7999999999999996E-3</v>
      </c>
      <c r="K18">
        <f>PRODUCT(
  INDEX(fire_location[Probability],MATCH($B18,fire_location[fire_location],0)),
  INDEX(smoke_detection_apt[Probability],MATCH($C18,smoke_detection_apt[smoke_detection_apt],0)),
  INDEX(smoke_detection_corridor[Probability],MATCH($D18,smoke_detection_corridor[smoke_detection_corridor],0)),
  INDEX(sprinkler[Probability],MATCH($E18,sprinkler[sprinkler],0)),
  INDEX(manual_suppression[Probability],MATCH($F18,manual_suppression[manual_suppression],0)),
  INDEX(door_open[Probability],MATCH($G18,door_open[door_open],0)),
  INDEX(smoke_seal[Probability],MATCH($H18,smoke_seal[smoke_seal],0))
)</f>
        <v>1.3531114799999995E-2</v>
      </c>
      <c r="L1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8" t="str">
        <f>event_tree[[#This Row],[ASET_scenario]]&amp;Inputs!$F$8</f>
        <v>X6</v>
      </c>
      <c r="N1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8" t="str">
        <f>event_tree[[#This Row],[fire_location]]&amp;Inputs!$F$8</f>
        <v>Apartment6</v>
      </c>
      <c r="Q1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8">
        <f>IF(event_tree[[#This Row],[fire_location]]="Apartment",Inputs!$F$11,Inputs!$F$12)</f>
        <v>60</v>
      </c>
      <c r="S18">
        <f>10+Inputs!$F$8</f>
        <v>16</v>
      </c>
      <c r="T1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8">
        <f>IF(event_tree[[#This Row],[fire_location]]="Apartment",Inputs!$F$12,Inputs!$F$11)</f>
        <v>600</v>
      </c>
      <c r="V18">
        <f>10+Inputs!$F$8</f>
        <v>16</v>
      </c>
      <c r="W18">
        <f>30</f>
        <v>30</v>
      </c>
      <c r="X18" t="str">
        <f>IF(event_tree[[#This Row],[ASET_scenario]]="X","extinguish",
   event_tree[[#This Row],[SOU_tdet]] + event_tree[[#This Row],[SOU_tpre]] + event_tree[[#This Row],[tnot]])</f>
        <v>extinguish</v>
      </c>
      <c r="Y18" t="str">
        <f>IF(event_tree[[#This Row],[ASET_scenario]]="X","extinguish",
   event_tree[[#This Row],[SOU_inside_RSET]] + event_tree[[#This Row],[SOU_ttrav]])</f>
        <v>extinguish</v>
      </c>
      <c r="Z1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8" t="str">
        <f>IF(event_tree[[#This Row],[ASET_scenario]]="X","extinguish", event_tree[[#This Row],[apt_ASET]]/event_tree[[#This Row],[SOU_inside_RSET]])</f>
        <v>extinguish</v>
      </c>
      <c r="AB18" t="str">
        <f>IF(event_tree[[#This Row],[ASET_scenario]]="X","extinguish",event_tree[[#This Row],[cor_ASET]]/event_tree[[#This Row],[SOU_outside_RSET]])</f>
        <v>extinguish</v>
      </c>
      <c r="AC18" t="str">
        <f>IF(event_tree[[#This Row],[ASET_scenario]]="X","extinguish",event_tree[[#This Row],[cor_ASET]]/event_tree[[#This Row],[remote_RSET]])</f>
        <v>extinguish</v>
      </c>
      <c r="AD18" t="b">
        <f>IF(OR(event_tree[[#This Row],[SOU_inside_ratio]]&lt;1,event_tree[[#This Row],[SOU_outside_ratio]]&lt;1),2)</f>
        <v>0</v>
      </c>
      <c r="AE18" t="b">
        <f>IF(event_tree[[#This Row],[remote_ratio]]&lt;1,2*(Inputs!$F$5-1))</f>
        <v>0</v>
      </c>
      <c r="AF18">
        <f>event_tree[[#This Row],[SOU_casualty]]+event_tree[[#This Row],[remote_casualty]]</f>
        <v>0</v>
      </c>
      <c r="AG18">
        <f>event_tree[[#This Row],[fire_frequency]]*event_tree[[#This Row],[probability_of_scenario]]</f>
        <v>1.0554269543999995E-4</v>
      </c>
      <c r="AH18">
        <f>event_tree[[#This Row],[total_casualty]]*event_tree[[#This Row],[fire_probability]]</f>
        <v>0</v>
      </c>
    </row>
    <row r="19" spans="1:34" x14ac:dyDescent="0.25">
      <c r="A19">
        <v>18</v>
      </c>
      <c r="B19" t="str" cm="1">
        <f t="array" ref="B1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19" t="str" cm="1">
        <f t="array" ref="C1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9" t="str" cm="1">
        <f t="array" ref="D1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9" t="str" cm="1">
        <f t="array" ref="E19">INDEX(sprinkler[sprinkler],
  1+MOD(QUOTIENT(ROW()-ROW($B$2),
     ROWS(manual_suppression[manual_suppression])*
     ROWS(door_open[door_open])*
     ROWS(smoke_seal[smoke_seal])
  ),
  ROWS(sprinkler[sprinkler]))
)</f>
        <v>Extinguish</v>
      </c>
      <c r="F19" t="str" cm="1">
        <f t="array" ref="F19">INDEX(manual_suppression[manual_suppression],
  1+MOD(QUOTIENT(ROW()-ROW($B$2),
     ROWS(door_open[door_open])*
     ROWS(smoke_seal[smoke_seal])
  ),
  ROWS(manual_suppression[manual_suppression]))
)</f>
        <v>Fail</v>
      </c>
      <c r="G19" t="str" cm="1">
        <f t="array" ref="G19">INDEX(door_open[door_open],
  1+MOD(QUOTIENT(ROW()-ROW($B$2),
     ROWS(smoke_seal[smoke_seal])
  ),
  ROWS(door_open[door_open]))
)</f>
        <v>Open</v>
      </c>
      <c r="H19" t="str" cm="1">
        <f t="array" ref="H19">INDEX(smoke_seal[smoke_seal],
  1+MOD(ROW()-ROW($B$2), ROWS(smoke_seal[smoke_seal]))
)</f>
        <v>Success</v>
      </c>
      <c r="I19" t="str">
        <f>IF(event_tree[[#This Row],[door_open]]="Open","Open",IF(event_tree[[#This Row],[smoke_seal]]="Success","Close","Part"))</f>
        <v>Open</v>
      </c>
      <c r="J19">
        <f>IF(B19="apartment",Inputs!$I$7,Inputs!$I$6)</f>
        <v>7.7999999999999996E-3</v>
      </c>
      <c r="K19">
        <f>PRODUCT(
  INDEX(fire_location[Probability],MATCH($B19,fire_location[fire_location],0)),
  INDEX(smoke_detection_apt[Probability],MATCH($C19,smoke_detection_apt[smoke_detection_apt],0)),
  INDEX(smoke_detection_corridor[Probability],MATCH($D19,smoke_detection_corridor[smoke_detection_corridor],0)),
  INDEX(sprinkler[Probability],MATCH($E19,sprinkler[sprinkler],0)),
  INDEX(manual_suppression[Probability],MATCH($F19,manual_suppression[manual_suppression],0)),
  INDEX(door_open[Probability],MATCH($G19,door_open[door_open],0)),
  INDEX(smoke_seal[Probability],MATCH($H19,smoke_seal[smoke_seal],0))
)</f>
        <v>2.5129213199999993E-2</v>
      </c>
      <c r="L1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9" t="str">
        <f>event_tree[[#This Row],[ASET_scenario]]&amp;Inputs!$F$8</f>
        <v>X6</v>
      </c>
      <c r="N1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9" t="str">
        <f>event_tree[[#This Row],[fire_location]]&amp;Inputs!$F$8</f>
        <v>Apartment6</v>
      </c>
      <c r="Q1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9">
        <f>IF(event_tree[[#This Row],[fire_location]]="Apartment",Inputs!$F$11,Inputs!$F$12)</f>
        <v>60</v>
      </c>
      <c r="S19">
        <f>10+Inputs!$F$8</f>
        <v>16</v>
      </c>
      <c r="T1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9">
        <f>IF(event_tree[[#This Row],[fire_location]]="Apartment",Inputs!$F$12,Inputs!$F$11)</f>
        <v>600</v>
      </c>
      <c r="V19">
        <f>10+Inputs!$F$8</f>
        <v>16</v>
      </c>
      <c r="W19">
        <f>30</f>
        <v>30</v>
      </c>
      <c r="X19" t="str">
        <f>IF(event_tree[[#This Row],[ASET_scenario]]="X","extinguish",
   event_tree[[#This Row],[SOU_tdet]] + event_tree[[#This Row],[SOU_tpre]] + event_tree[[#This Row],[tnot]])</f>
        <v>extinguish</v>
      </c>
      <c r="Y19" t="str">
        <f>IF(event_tree[[#This Row],[ASET_scenario]]="X","extinguish",
   event_tree[[#This Row],[SOU_inside_RSET]] + event_tree[[#This Row],[SOU_ttrav]])</f>
        <v>extinguish</v>
      </c>
      <c r="Z1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9" t="str">
        <f>IF(event_tree[[#This Row],[ASET_scenario]]="X","extinguish", event_tree[[#This Row],[apt_ASET]]/event_tree[[#This Row],[SOU_inside_RSET]])</f>
        <v>extinguish</v>
      </c>
      <c r="AB19" t="str">
        <f>IF(event_tree[[#This Row],[ASET_scenario]]="X","extinguish",event_tree[[#This Row],[cor_ASET]]/event_tree[[#This Row],[SOU_outside_RSET]])</f>
        <v>extinguish</v>
      </c>
      <c r="AC19" t="str">
        <f>IF(event_tree[[#This Row],[ASET_scenario]]="X","extinguish",event_tree[[#This Row],[cor_ASET]]/event_tree[[#This Row],[remote_RSET]])</f>
        <v>extinguish</v>
      </c>
      <c r="AD19" t="b">
        <f>IF(OR(event_tree[[#This Row],[SOU_inside_ratio]]&lt;1,event_tree[[#This Row],[SOU_outside_ratio]]&lt;1),2)</f>
        <v>0</v>
      </c>
      <c r="AE19" t="b">
        <f>IF(event_tree[[#This Row],[remote_ratio]]&lt;1,2*(Inputs!$F$5-1))</f>
        <v>0</v>
      </c>
      <c r="AF19">
        <f>event_tree[[#This Row],[SOU_casualty]]+event_tree[[#This Row],[remote_casualty]]</f>
        <v>0</v>
      </c>
      <c r="AG19">
        <f>event_tree[[#This Row],[fire_frequency]]*event_tree[[#This Row],[probability_of_scenario]]</f>
        <v>1.9600786295999995E-4</v>
      </c>
      <c r="AH19">
        <f>event_tree[[#This Row],[total_casualty]]*event_tree[[#This Row],[fire_probability]]</f>
        <v>0</v>
      </c>
    </row>
    <row r="20" spans="1:34" x14ac:dyDescent="0.25">
      <c r="A20">
        <v>19</v>
      </c>
      <c r="B20" t="str" cm="1">
        <f t="array" ref="B2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0" t="str" cm="1">
        <f t="array" ref="C2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0" t="str" cm="1">
        <f t="array" ref="D2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20" t="str" cm="1">
        <f t="array" ref="E20">INDEX(sprinkler[sprinkler],
  1+MOD(QUOTIENT(ROW()-ROW($B$2),
     ROWS(manual_suppression[manual_suppression])*
     ROWS(door_open[door_open])*
     ROWS(smoke_seal[smoke_seal])
  ),
  ROWS(sprinkler[sprinkler]))
)</f>
        <v>Extinguish</v>
      </c>
      <c r="F20" t="str" cm="1">
        <f t="array" ref="F20">INDEX(manual_suppression[manual_suppression],
  1+MOD(QUOTIENT(ROW()-ROW($B$2),
     ROWS(door_open[door_open])*
     ROWS(smoke_seal[smoke_seal])
  ),
  ROWS(manual_suppression[manual_suppression]))
)</f>
        <v>Fail</v>
      </c>
      <c r="G20" t="str" cm="1">
        <f t="array" ref="G20">INDEX(door_open[door_open],
  1+MOD(QUOTIENT(ROW()-ROW($B$2),
     ROWS(smoke_seal[smoke_seal])
  ),
  ROWS(door_open[door_open]))
)</f>
        <v>Closed</v>
      </c>
      <c r="H20" t="str" cm="1">
        <f t="array" ref="H20">INDEX(smoke_seal[smoke_seal],
  1+MOD(ROW()-ROW($B$2), ROWS(smoke_seal[smoke_seal]))
)</f>
        <v>Fail</v>
      </c>
      <c r="I20" t="str">
        <f>IF(event_tree[[#This Row],[door_open]]="Open","Open",IF(event_tree[[#This Row],[smoke_seal]]="Success","Close","Part"))</f>
        <v>Part</v>
      </c>
      <c r="J20">
        <f>IF(B20="apartment",Inputs!$I$7,Inputs!$I$6)</f>
        <v>7.7999999999999996E-3</v>
      </c>
      <c r="K20">
        <f>PRODUCT(
  INDEX(fire_location[Probability],MATCH($B20,fire_location[fire_location],0)),
  INDEX(smoke_detection_apt[Probability],MATCH($C20,smoke_detection_apt[smoke_detection_apt],0)),
  INDEX(smoke_detection_corridor[Probability],MATCH($D20,smoke_detection_corridor[smoke_detection_corridor],0)),
  INDEX(sprinkler[Probability],MATCH($E20,sprinkler[sprinkler],0)),
  INDEX(manual_suppression[Probability],MATCH($F20,manual_suppression[manual_suppression],0)),
  INDEX(door_open[Probability],MATCH($G20,door_open[door_open],0)),
  INDEX(smoke_seal[Probability],MATCH($H20,smoke_seal[smoke_seal],0))
)</f>
        <v>3.1572601199999988E-2</v>
      </c>
      <c r="L2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20" t="str">
        <f>event_tree[[#This Row],[ASET_scenario]]&amp;Inputs!$F$8</f>
        <v>X6</v>
      </c>
      <c r="N2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2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20" t="str">
        <f>event_tree[[#This Row],[fire_location]]&amp;Inputs!$F$8</f>
        <v>Apartment6</v>
      </c>
      <c r="Q2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20">
        <f>IF(event_tree[[#This Row],[fire_location]]="Apartment",Inputs!$F$11,Inputs!$F$12)</f>
        <v>60</v>
      </c>
      <c r="S20">
        <f>10+Inputs!$F$8</f>
        <v>16</v>
      </c>
      <c r="T2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20">
        <f>IF(event_tree[[#This Row],[fire_location]]="Apartment",Inputs!$F$12,Inputs!$F$11)</f>
        <v>600</v>
      </c>
      <c r="V20">
        <f>10+Inputs!$F$8</f>
        <v>16</v>
      </c>
      <c r="W20">
        <f>30</f>
        <v>30</v>
      </c>
      <c r="X20" t="str">
        <f>IF(event_tree[[#This Row],[ASET_scenario]]="X","extinguish",
   event_tree[[#This Row],[SOU_tdet]] + event_tree[[#This Row],[SOU_tpre]] + event_tree[[#This Row],[tnot]])</f>
        <v>extinguish</v>
      </c>
      <c r="Y20" t="str">
        <f>IF(event_tree[[#This Row],[ASET_scenario]]="X","extinguish",
   event_tree[[#This Row],[SOU_inside_RSET]] + event_tree[[#This Row],[SOU_ttrav]])</f>
        <v>extinguish</v>
      </c>
      <c r="Z2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20" t="str">
        <f>IF(event_tree[[#This Row],[ASET_scenario]]="X","extinguish", event_tree[[#This Row],[apt_ASET]]/event_tree[[#This Row],[SOU_inside_RSET]])</f>
        <v>extinguish</v>
      </c>
      <c r="AB20" t="str">
        <f>IF(event_tree[[#This Row],[ASET_scenario]]="X","extinguish",event_tree[[#This Row],[cor_ASET]]/event_tree[[#This Row],[SOU_outside_RSET]])</f>
        <v>extinguish</v>
      </c>
      <c r="AC20" t="str">
        <f>IF(event_tree[[#This Row],[ASET_scenario]]="X","extinguish",event_tree[[#This Row],[cor_ASET]]/event_tree[[#This Row],[remote_RSET]])</f>
        <v>extinguish</v>
      </c>
      <c r="AD20" t="b">
        <f>IF(OR(event_tree[[#This Row],[SOU_inside_ratio]]&lt;1,event_tree[[#This Row],[SOU_outside_ratio]]&lt;1),2)</f>
        <v>0</v>
      </c>
      <c r="AE20" t="b">
        <f>IF(event_tree[[#This Row],[remote_ratio]]&lt;1,2*(Inputs!$F$5-1))</f>
        <v>0</v>
      </c>
      <c r="AF20">
        <f>event_tree[[#This Row],[SOU_casualty]]+event_tree[[#This Row],[remote_casualty]]</f>
        <v>0</v>
      </c>
      <c r="AG20">
        <f>event_tree[[#This Row],[fire_frequency]]*event_tree[[#This Row],[probability_of_scenario]]</f>
        <v>2.4626628935999991E-4</v>
      </c>
      <c r="AH20">
        <f>event_tree[[#This Row],[total_casualty]]*event_tree[[#This Row],[fire_probability]]</f>
        <v>0</v>
      </c>
    </row>
    <row r="21" spans="1:34" x14ac:dyDescent="0.25">
      <c r="A21">
        <v>20</v>
      </c>
      <c r="B21" t="str" cm="1">
        <f t="array" ref="B2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1" t="str" cm="1">
        <f t="array" ref="C2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1" t="str" cm="1">
        <f t="array" ref="D2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21" t="str" cm="1">
        <f t="array" ref="E21">INDEX(sprinkler[sprinkler],
  1+MOD(QUOTIENT(ROW()-ROW($B$2),
     ROWS(manual_suppression[manual_suppression])*
     ROWS(door_open[door_open])*
     ROWS(smoke_seal[smoke_seal])
  ),
  ROWS(sprinkler[sprinkler]))
)</f>
        <v>Extinguish</v>
      </c>
      <c r="F21" t="str" cm="1">
        <f t="array" ref="F21">INDEX(manual_suppression[manual_suppression],
  1+MOD(QUOTIENT(ROW()-ROW($B$2),
     ROWS(door_open[door_open])*
     ROWS(smoke_seal[smoke_seal])
  ),
  ROWS(manual_suppression[manual_suppression]))
)</f>
        <v>Fail</v>
      </c>
      <c r="G21" t="str" cm="1">
        <f t="array" ref="G21">INDEX(door_open[door_open],
  1+MOD(QUOTIENT(ROW()-ROW($B$2),
     ROWS(smoke_seal[smoke_seal])
  ),
  ROWS(door_open[door_open]))
)</f>
        <v>Closed</v>
      </c>
      <c r="H21" t="str" cm="1">
        <f t="array" ref="H21">INDEX(smoke_seal[smoke_seal],
  1+MOD(ROW()-ROW($B$2), ROWS(smoke_seal[smoke_seal]))
)</f>
        <v>Success</v>
      </c>
      <c r="I21" t="str">
        <f>IF(event_tree[[#This Row],[door_open]]="Open","Open",IF(event_tree[[#This Row],[smoke_seal]]="Success","Close","Part"))</f>
        <v>Close</v>
      </c>
      <c r="J21">
        <f>IF(B21="apartment",Inputs!$I$7,Inputs!$I$6)</f>
        <v>7.7999999999999996E-3</v>
      </c>
      <c r="K21">
        <f>PRODUCT(
  INDEX(fire_location[Probability],MATCH($B21,fire_location[fire_location],0)),
  INDEX(smoke_detection_apt[Probability],MATCH($C21,smoke_detection_apt[smoke_detection_apt],0)),
  INDEX(smoke_detection_corridor[Probability],MATCH($D21,smoke_detection_corridor[smoke_detection_corridor],0)),
  INDEX(sprinkler[Probability],MATCH($E21,sprinkler[sprinkler],0)),
  INDEX(manual_suppression[Probability],MATCH($F21,manual_suppression[manual_suppression],0)),
  INDEX(door_open[Probability],MATCH($G21,door_open[door_open],0)),
  INDEX(smoke_seal[Probability],MATCH($H21,smoke_seal[smoke_seal],0))
)</f>
        <v>5.8634830799999989E-2</v>
      </c>
      <c r="L2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21" t="str">
        <f>event_tree[[#This Row],[ASET_scenario]]&amp;Inputs!$F$8</f>
        <v>X6</v>
      </c>
      <c r="N2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2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21" t="str">
        <f>event_tree[[#This Row],[fire_location]]&amp;Inputs!$F$8</f>
        <v>Apartment6</v>
      </c>
      <c r="Q2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21">
        <f>IF(event_tree[[#This Row],[fire_location]]="Apartment",Inputs!$F$11,Inputs!$F$12)</f>
        <v>60</v>
      </c>
      <c r="S21">
        <f>10+Inputs!$F$8</f>
        <v>16</v>
      </c>
      <c r="T2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21">
        <f>IF(event_tree[[#This Row],[fire_location]]="Apartment",Inputs!$F$12,Inputs!$F$11)</f>
        <v>600</v>
      </c>
      <c r="V21">
        <f>10+Inputs!$F$8</f>
        <v>16</v>
      </c>
      <c r="W21">
        <f>30</f>
        <v>30</v>
      </c>
      <c r="X21" t="str">
        <f>IF(event_tree[[#This Row],[ASET_scenario]]="X","extinguish",
   event_tree[[#This Row],[SOU_tdet]] + event_tree[[#This Row],[SOU_tpre]] + event_tree[[#This Row],[tnot]])</f>
        <v>extinguish</v>
      </c>
      <c r="Y21" t="str">
        <f>IF(event_tree[[#This Row],[ASET_scenario]]="X","extinguish",
   event_tree[[#This Row],[SOU_inside_RSET]] + event_tree[[#This Row],[SOU_ttrav]])</f>
        <v>extinguish</v>
      </c>
      <c r="Z2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21" t="str">
        <f>IF(event_tree[[#This Row],[ASET_scenario]]="X","extinguish", event_tree[[#This Row],[apt_ASET]]/event_tree[[#This Row],[SOU_inside_RSET]])</f>
        <v>extinguish</v>
      </c>
      <c r="AB21" t="str">
        <f>IF(event_tree[[#This Row],[ASET_scenario]]="X","extinguish",event_tree[[#This Row],[cor_ASET]]/event_tree[[#This Row],[SOU_outside_RSET]])</f>
        <v>extinguish</v>
      </c>
      <c r="AC21" t="str">
        <f>IF(event_tree[[#This Row],[ASET_scenario]]="X","extinguish",event_tree[[#This Row],[cor_ASET]]/event_tree[[#This Row],[remote_RSET]])</f>
        <v>extinguish</v>
      </c>
      <c r="AD21" t="b">
        <f>IF(OR(event_tree[[#This Row],[SOU_inside_ratio]]&lt;1,event_tree[[#This Row],[SOU_outside_ratio]]&lt;1),2)</f>
        <v>0</v>
      </c>
      <c r="AE21" t="b">
        <f>IF(event_tree[[#This Row],[remote_ratio]]&lt;1,2*(Inputs!$F$5-1))</f>
        <v>0</v>
      </c>
      <c r="AF21">
        <f>event_tree[[#This Row],[SOU_casualty]]+event_tree[[#This Row],[remote_casualty]]</f>
        <v>0</v>
      </c>
      <c r="AG21">
        <f>event_tree[[#This Row],[fire_frequency]]*event_tree[[#This Row],[probability_of_scenario]]</f>
        <v>4.573516802399999E-4</v>
      </c>
      <c r="AH21">
        <f>event_tree[[#This Row],[total_casualty]]*event_tree[[#This Row],[fire_probability]]</f>
        <v>0</v>
      </c>
    </row>
    <row r="22" spans="1:34" x14ac:dyDescent="0.25">
      <c r="A22">
        <v>21</v>
      </c>
      <c r="B22" t="str" cm="1">
        <f t="array" ref="B2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2" t="str" cm="1">
        <f t="array" ref="C2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2" t="str" cm="1">
        <f t="array" ref="D2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22" t="str" cm="1">
        <f t="array" ref="E22">INDEX(sprinkler[sprinkler],
  1+MOD(QUOTIENT(ROW()-ROW($B$2),
     ROWS(manual_suppression[manual_suppression])*
     ROWS(door_open[door_open])*
     ROWS(smoke_seal[smoke_seal])
  ),
  ROWS(sprinkler[sprinkler]))
)</f>
        <v>Extinguish</v>
      </c>
      <c r="F22" t="str" cm="1">
        <f t="array" ref="F22">INDEX(manual_suppression[manual_suppression],
  1+MOD(QUOTIENT(ROW()-ROW($B$2),
     ROWS(door_open[door_open])*
     ROWS(smoke_seal[smoke_seal])
  ),
  ROWS(manual_suppression[manual_suppression]))
)</f>
        <v>Suppress</v>
      </c>
      <c r="G22" t="str" cm="1">
        <f t="array" ref="G22">INDEX(door_open[door_open],
  1+MOD(QUOTIENT(ROW()-ROW($B$2),
     ROWS(smoke_seal[smoke_seal])
  ),
  ROWS(door_open[door_open]))
)</f>
        <v>Open</v>
      </c>
      <c r="H22" t="str" cm="1">
        <f t="array" ref="H22">INDEX(smoke_seal[smoke_seal],
  1+MOD(ROW()-ROW($B$2), ROWS(smoke_seal[smoke_seal]))
)</f>
        <v>Fail</v>
      </c>
      <c r="I22" t="str">
        <f>IF(event_tree[[#This Row],[door_open]]="Open","Open",IF(event_tree[[#This Row],[smoke_seal]]="Success","Close","Part"))</f>
        <v>Open</v>
      </c>
      <c r="J22">
        <f>IF(B22="apartment",Inputs!$I$7,Inputs!$I$6)</f>
        <v>7.7999999999999996E-3</v>
      </c>
      <c r="K22">
        <f>PRODUCT(
  INDEX(fire_location[Probability],MATCH($B22,fire_location[fire_location],0)),
  INDEX(smoke_detection_apt[Probability],MATCH($C22,smoke_detection_apt[smoke_detection_apt],0)),
  INDEX(smoke_detection_corridor[Probability],MATCH($D22,smoke_detection_corridor[smoke_detection_corridor],0)),
  INDEX(sprinkler[Probability],MATCH($E22,sprinkler[sprinkler],0)),
  INDEX(manual_suppression[Probability],MATCH($F22,manual_suppression[manual_suppression],0)),
  INDEX(door_open[Probability],MATCH($G22,door_open[door_open],0)),
  INDEX(smoke_seal[Probability],MATCH($H22,smoke_seal[smoke_seal],0))
)</f>
        <v>2.5129213199999997E-2</v>
      </c>
      <c r="L2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22" t="str">
        <f>event_tree[[#This Row],[ASET_scenario]]&amp;Inputs!$F$8</f>
        <v>X6</v>
      </c>
      <c r="N2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2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22" t="str">
        <f>event_tree[[#This Row],[fire_location]]&amp;Inputs!$F$8</f>
        <v>Apartment6</v>
      </c>
      <c r="Q2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22">
        <f>IF(event_tree[[#This Row],[fire_location]]="Apartment",Inputs!$F$11,Inputs!$F$12)</f>
        <v>60</v>
      </c>
      <c r="S22">
        <f>10+Inputs!$F$8</f>
        <v>16</v>
      </c>
      <c r="T2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22">
        <f>IF(event_tree[[#This Row],[fire_location]]="Apartment",Inputs!$F$12,Inputs!$F$11)</f>
        <v>600</v>
      </c>
      <c r="V22">
        <f>10+Inputs!$F$8</f>
        <v>16</v>
      </c>
      <c r="W22">
        <f>30</f>
        <v>30</v>
      </c>
      <c r="X22" t="str">
        <f>IF(event_tree[[#This Row],[ASET_scenario]]="X","extinguish",
   event_tree[[#This Row],[SOU_tdet]] + event_tree[[#This Row],[SOU_tpre]] + event_tree[[#This Row],[tnot]])</f>
        <v>extinguish</v>
      </c>
      <c r="Y22" t="str">
        <f>IF(event_tree[[#This Row],[ASET_scenario]]="X","extinguish",
   event_tree[[#This Row],[SOU_inside_RSET]] + event_tree[[#This Row],[SOU_ttrav]])</f>
        <v>extinguish</v>
      </c>
      <c r="Z2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22" t="str">
        <f>IF(event_tree[[#This Row],[ASET_scenario]]="X","extinguish", event_tree[[#This Row],[apt_ASET]]/event_tree[[#This Row],[SOU_inside_RSET]])</f>
        <v>extinguish</v>
      </c>
      <c r="AB22" t="str">
        <f>IF(event_tree[[#This Row],[ASET_scenario]]="X","extinguish",event_tree[[#This Row],[cor_ASET]]/event_tree[[#This Row],[SOU_outside_RSET]])</f>
        <v>extinguish</v>
      </c>
      <c r="AC22" t="str">
        <f>IF(event_tree[[#This Row],[ASET_scenario]]="X","extinguish",event_tree[[#This Row],[cor_ASET]]/event_tree[[#This Row],[remote_RSET]])</f>
        <v>extinguish</v>
      </c>
      <c r="AD22" t="b">
        <f>IF(OR(event_tree[[#This Row],[SOU_inside_ratio]]&lt;1,event_tree[[#This Row],[SOU_outside_ratio]]&lt;1),2)</f>
        <v>0</v>
      </c>
      <c r="AE22" t="b">
        <f>IF(event_tree[[#This Row],[remote_ratio]]&lt;1,2*(Inputs!$F$5-1))</f>
        <v>0</v>
      </c>
      <c r="AF22">
        <f>event_tree[[#This Row],[SOU_casualty]]+event_tree[[#This Row],[remote_casualty]]</f>
        <v>0</v>
      </c>
      <c r="AG22">
        <f>event_tree[[#This Row],[fire_frequency]]*event_tree[[#This Row],[probability_of_scenario]]</f>
        <v>1.9600786295999998E-4</v>
      </c>
      <c r="AH22">
        <f>event_tree[[#This Row],[total_casualty]]*event_tree[[#This Row],[fire_probability]]</f>
        <v>0</v>
      </c>
    </row>
    <row r="23" spans="1:34" x14ac:dyDescent="0.25">
      <c r="A23">
        <v>22</v>
      </c>
      <c r="B23" t="str" cm="1">
        <f t="array" ref="B2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3" t="str" cm="1">
        <f t="array" ref="C2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3" t="str" cm="1">
        <f t="array" ref="D2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23" t="str" cm="1">
        <f t="array" ref="E23">INDEX(sprinkler[sprinkler],
  1+MOD(QUOTIENT(ROW()-ROW($B$2),
     ROWS(manual_suppression[manual_suppression])*
     ROWS(door_open[door_open])*
     ROWS(smoke_seal[smoke_seal])
  ),
  ROWS(sprinkler[sprinkler]))
)</f>
        <v>Extinguish</v>
      </c>
      <c r="F23" t="str" cm="1">
        <f t="array" ref="F23">INDEX(manual_suppression[manual_suppression],
  1+MOD(QUOTIENT(ROW()-ROW($B$2),
     ROWS(door_open[door_open])*
     ROWS(smoke_seal[smoke_seal])
  ),
  ROWS(manual_suppression[manual_suppression]))
)</f>
        <v>Suppress</v>
      </c>
      <c r="G23" t="str" cm="1">
        <f t="array" ref="G23">INDEX(door_open[door_open],
  1+MOD(QUOTIENT(ROW()-ROW($B$2),
     ROWS(smoke_seal[smoke_seal])
  ),
  ROWS(door_open[door_open]))
)</f>
        <v>Open</v>
      </c>
      <c r="H23" t="str" cm="1">
        <f t="array" ref="H23">INDEX(smoke_seal[smoke_seal],
  1+MOD(ROW()-ROW($B$2), ROWS(smoke_seal[smoke_seal]))
)</f>
        <v>Success</v>
      </c>
      <c r="I23" t="str">
        <f>IF(event_tree[[#This Row],[door_open]]="Open","Open",IF(event_tree[[#This Row],[smoke_seal]]="Success","Close","Part"))</f>
        <v>Open</v>
      </c>
      <c r="J23">
        <f>IF(B23="apartment",Inputs!$I$7,Inputs!$I$6)</f>
        <v>7.7999999999999996E-3</v>
      </c>
      <c r="K23">
        <f>PRODUCT(
  INDEX(fire_location[Probability],MATCH($B23,fire_location[fire_location],0)),
  INDEX(smoke_detection_apt[Probability],MATCH($C23,smoke_detection_apt[smoke_detection_apt],0)),
  INDEX(smoke_detection_corridor[Probability],MATCH($D23,smoke_detection_corridor[smoke_detection_corridor],0)),
  INDEX(sprinkler[Probability],MATCH($E23,sprinkler[sprinkler],0)),
  INDEX(manual_suppression[Probability],MATCH($F23,manual_suppression[manual_suppression],0)),
  INDEX(door_open[Probability],MATCH($G23,door_open[door_open],0)),
  INDEX(smoke_seal[Probability],MATCH($H23,smoke_seal[smoke_seal],0))
)</f>
        <v>4.6668538799999999E-2</v>
      </c>
      <c r="L2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23" t="str">
        <f>event_tree[[#This Row],[ASET_scenario]]&amp;Inputs!$F$8</f>
        <v>X6</v>
      </c>
      <c r="N2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2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23" t="str">
        <f>event_tree[[#This Row],[fire_location]]&amp;Inputs!$F$8</f>
        <v>Apartment6</v>
      </c>
      <c r="Q2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23">
        <f>IF(event_tree[[#This Row],[fire_location]]="Apartment",Inputs!$F$11,Inputs!$F$12)</f>
        <v>60</v>
      </c>
      <c r="S23">
        <f>10+Inputs!$F$8</f>
        <v>16</v>
      </c>
      <c r="T2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23">
        <f>IF(event_tree[[#This Row],[fire_location]]="Apartment",Inputs!$F$12,Inputs!$F$11)</f>
        <v>600</v>
      </c>
      <c r="V23">
        <f>10+Inputs!$F$8</f>
        <v>16</v>
      </c>
      <c r="W23">
        <f>30</f>
        <v>30</v>
      </c>
      <c r="X23" t="str">
        <f>IF(event_tree[[#This Row],[ASET_scenario]]="X","extinguish",
   event_tree[[#This Row],[SOU_tdet]] + event_tree[[#This Row],[SOU_tpre]] + event_tree[[#This Row],[tnot]])</f>
        <v>extinguish</v>
      </c>
      <c r="Y23" t="str">
        <f>IF(event_tree[[#This Row],[ASET_scenario]]="X","extinguish",
   event_tree[[#This Row],[SOU_inside_RSET]] + event_tree[[#This Row],[SOU_ttrav]])</f>
        <v>extinguish</v>
      </c>
      <c r="Z2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23" t="str">
        <f>IF(event_tree[[#This Row],[ASET_scenario]]="X","extinguish", event_tree[[#This Row],[apt_ASET]]/event_tree[[#This Row],[SOU_inside_RSET]])</f>
        <v>extinguish</v>
      </c>
      <c r="AB23" t="str">
        <f>IF(event_tree[[#This Row],[ASET_scenario]]="X","extinguish",event_tree[[#This Row],[cor_ASET]]/event_tree[[#This Row],[SOU_outside_RSET]])</f>
        <v>extinguish</v>
      </c>
      <c r="AC23" t="str">
        <f>IF(event_tree[[#This Row],[ASET_scenario]]="X","extinguish",event_tree[[#This Row],[cor_ASET]]/event_tree[[#This Row],[remote_RSET]])</f>
        <v>extinguish</v>
      </c>
      <c r="AD23" t="b">
        <f>IF(OR(event_tree[[#This Row],[SOU_inside_ratio]]&lt;1,event_tree[[#This Row],[SOU_outside_ratio]]&lt;1),2)</f>
        <v>0</v>
      </c>
      <c r="AE23" t="b">
        <f>IF(event_tree[[#This Row],[remote_ratio]]&lt;1,2*(Inputs!$F$5-1))</f>
        <v>0</v>
      </c>
      <c r="AF23">
        <f>event_tree[[#This Row],[SOU_casualty]]+event_tree[[#This Row],[remote_casualty]]</f>
        <v>0</v>
      </c>
      <c r="AG23">
        <f>event_tree[[#This Row],[fire_frequency]]*event_tree[[#This Row],[probability_of_scenario]]</f>
        <v>3.6401460263999998E-4</v>
      </c>
      <c r="AH23">
        <f>event_tree[[#This Row],[total_casualty]]*event_tree[[#This Row],[fire_probability]]</f>
        <v>0</v>
      </c>
    </row>
    <row r="24" spans="1:34" x14ac:dyDescent="0.25">
      <c r="A24">
        <v>23</v>
      </c>
      <c r="B24" t="str" cm="1">
        <f t="array" ref="B2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4" t="str" cm="1">
        <f t="array" ref="C2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4" t="str" cm="1">
        <f t="array" ref="D2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24" t="str" cm="1">
        <f t="array" ref="E24">INDEX(sprinkler[sprinkler],
  1+MOD(QUOTIENT(ROW()-ROW($B$2),
     ROWS(manual_suppression[manual_suppression])*
     ROWS(door_open[door_open])*
     ROWS(smoke_seal[smoke_seal])
  ),
  ROWS(sprinkler[sprinkler]))
)</f>
        <v>Extinguish</v>
      </c>
      <c r="F24" t="str" cm="1">
        <f t="array" ref="F24">INDEX(manual_suppression[manual_suppression],
  1+MOD(QUOTIENT(ROW()-ROW($B$2),
     ROWS(door_open[door_open])*
     ROWS(smoke_seal[smoke_seal])
  ),
  ROWS(manual_suppression[manual_suppression]))
)</f>
        <v>Suppress</v>
      </c>
      <c r="G24" t="str" cm="1">
        <f t="array" ref="G24">INDEX(door_open[door_open],
  1+MOD(QUOTIENT(ROW()-ROW($B$2),
     ROWS(smoke_seal[smoke_seal])
  ),
  ROWS(door_open[door_open]))
)</f>
        <v>Closed</v>
      </c>
      <c r="H24" t="str" cm="1">
        <f t="array" ref="H24">INDEX(smoke_seal[smoke_seal],
  1+MOD(ROW()-ROW($B$2), ROWS(smoke_seal[smoke_seal]))
)</f>
        <v>Fail</v>
      </c>
      <c r="I24" t="str">
        <f>IF(event_tree[[#This Row],[door_open]]="Open","Open",IF(event_tree[[#This Row],[smoke_seal]]="Success","Close","Part"))</f>
        <v>Part</v>
      </c>
      <c r="J24">
        <f>IF(B24="apartment",Inputs!$I$7,Inputs!$I$6)</f>
        <v>7.7999999999999996E-3</v>
      </c>
      <c r="K24">
        <f>PRODUCT(
  INDEX(fire_location[Probability],MATCH($B24,fire_location[fire_location],0)),
  INDEX(smoke_detection_apt[Probability],MATCH($C24,smoke_detection_apt[smoke_detection_apt],0)),
  INDEX(smoke_detection_corridor[Probability],MATCH($D24,smoke_detection_corridor[smoke_detection_corridor],0)),
  INDEX(sprinkler[Probability],MATCH($E24,sprinkler[sprinkler],0)),
  INDEX(manual_suppression[Probability],MATCH($F24,manual_suppression[manual_suppression],0)),
  INDEX(door_open[Probability],MATCH($G24,door_open[door_open],0)),
  INDEX(smoke_seal[Probability],MATCH($H24,smoke_seal[smoke_seal],0))
)</f>
        <v>5.8634830799999996E-2</v>
      </c>
      <c r="L2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24" t="str">
        <f>event_tree[[#This Row],[ASET_scenario]]&amp;Inputs!$F$8</f>
        <v>X6</v>
      </c>
      <c r="N2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2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24" t="str">
        <f>event_tree[[#This Row],[fire_location]]&amp;Inputs!$F$8</f>
        <v>Apartment6</v>
      </c>
      <c r="Q2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24">
        <f>IF(event_tree[[#This Row],[fire_location]]="Apartment",Inputs!$F$11,Inputs!$F$12)</f>
        <v>60</v>
      </c>
      <c r="S24">
        <f>10+Inputs!$F$8</f>
        <v>16</v>
      </c>
      <c r="T2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24">
        <f>IF(event_tree[[#This Row],[fire_location]]="Apartment",Inputs!$F$12,Inputs!$F$11)</f>
        <v>600</v>
      </c>
      <c r="V24">
        <f>10+Inputs!$F$8</f>
        <v>16</v>
      </c>
      <c r="W24">
        <f>30</f>
        <v>30</v>
      </c>
      <c r="X24" t="str">
        <f>IF(event_tree[[#This Row],[ASET_scenario]]="X","extinguish",
   event_tree[[#This Row],[SOU_tdet]] + event_tree[[#This Row],[SOU_tpre]] + event_tree[[#This Row],[tnot]])</f>
        <v>extinguish</v>
      </c>
      <c r="Y24" t="str">
        <f>IF(event_tree[[#This Row],[ASET_scenario]]="X","extinguish",
   event_tree[[#This Row],[SOU_inside_RSET]] + event_tree[[#This Row],[SOU_ttrav]])</f>
        <v>extinguish</v>
      </c>
      <c r="Z2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24" t="str">
        <f>IF(event_tree[[#This Row],[ASET_scenario]]="X","extinguish", event_tree[[#This Row],[apt_ASET]]/event_tree[[#This Row],[SOU_inside_RSET]])</f>
        <v>extinguish</v>
      </c>
      <c r="AB24" t="str">
        <f>IF(event_tree[[#This Row],[ASET_scenario]]="X","extinguish",event_tree[[#This Row],[cor_ASET]]/event_tree[[#This Row],[SOU_outside_RSET]])</f>
        <v>extinguish</v>
      </c>
      <c r="AC24" t="str">
        <f>IF(event_tree[[#This Row],[ASET_scenario]]="X","extinguish",event_tree[[#This Row],[cor_ASET]]/event_tree[[#This Row],[remote_RSET]])</f>
        <v>extinguish</v>
      </c>
      <c r="AD24" t="b">
        <f>IF(OR(event_tree[[#This Row],[SOU_inside_ratio]]&lt;1,event_tree[[#This Row],[SOU_outside_ratio]]&lt;1),2)</f>
        <v>0</v>
      </c>
      <c r="AE24" t="b">
        <f>IF(event_tree[[#This Row],[remote_ratio]]&lt;1,2*(Inputs!$F$5-1))</f>
        <v>0</v>
      </c>
      <c r="AF24">
        <f>event_tree[[#This Row],[SOU_casualty]]+event_tree[[#This Row],[remote_casualty]]</f>
        <v>0</v>
      </c>
      <c r="AG24">
        <f>event_tree[[#This Row],[fire_frequency]]*event_tree[[#This Row],[probability_of_scenario]]</f>
        <v>4.5735168023999995E-4</v>
      </c>
      <c r="AH24">
        <f>event_tree[[#This Row],[total_casualty]]*event_tree[[#This Row],[fire_probability]]</f>
        <v>0</v>
      </c>
    </row>
    <row r="25" spans="1:34" x14ac:dyDescent="0.25">
      <c r="A25">
        <v>24</v>
      </c>
      <c r="B25" t="str" cm="1">
        <f t="array" ref="B2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5" t="str" cm="1">
        <f t="array" ref="C2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5" t="str" cm="1">
        <f t="array" ref="D2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25" t="str" cm="1">
        <f t="array" ref="E25">INDEX(sprinkler[sprinkler],
  1+MOD(QUOTIENT(ROW()-ROW($B$2),
     ROWS(manual_suppression[manual_suppression])*
     ROWS(door_open[door_open])*
     ROWS(smoke_seal[smoke_seal])
  ),
  ROWS(sprinkler[sprinkler]))
)</f>
        <v>Extinguish</v>
      </c>
      <c r="F25" t="str" cm="1">
        <f t="array" ref="F25">INDEX(manual_suppression[manual_suppression],
  1+MOD(QUOTIENT(ROW()-ROW($B$2),
     ROWS(door_open[door_open])*
     ROWS(smoke_seal[smoke_seal])
  ),
  ROWS(manual_suppression[manual_suppression]))
)</f>
        <v>Suppress</v>
      </c>
      <c r="G25" t="str" cm="1">
        <f t="array" ref="G25">INDEX(door_open[door_open],
  1+MOD(QUOTIENT(ROW()-ROW($B$2),
     ROWS(smoke_seal[smoke_seal])
  ),
  ROWS(door_open[door_open]))
)</f>
        <v>Closed</v>
      </c>
      <c r="H25" t="str" cm="1">
        <f t="array" ref="H25">INDEX(smoke_seal[smoke_seal],
  1+MOD(ROW()-ROW($B$2), ROWS(smoke_seal[smoke_seal]))
)</f>
        <v>Success</v>
      </c>
      <c r="I25" t="str">
        <f>IF(event_tree[[#This Row],[door_open]]="Open","Open",IF(event_tree[[#This Row],[smoke_seal]]="Success","Close","Part"))</f>
        <v>Close</v>
      </c>
      <c r="J25">
        <f>IF(B25="apartment",Inputs!$I$7,Inputs!$I$6)</f>
        <v>7.7999999999999996E-3</v>
      </c>
      <c r="K25">
        <f>PRODUCT(
  INDEX(fire_location[Probability],MATCH($B25,fire_location[fire_location],0)),
  INDEX(smoke_detection_apt[Probability],MATCH($C25,smoke_detection_apt[smoke_detection_apt],0)),
  INDEX(smoke_detection_corridor[Probability],MATCH($D25,smoke_detection_corridor[smoke_detection_corridor],0)),
  INDEX(sprinkler[Probability],MATCH($E25,sprinkler[sprinkler],0)),
  INDEX(manual_suppression[Probability],MATCH($F25,manual_suppression[manual_suppression],0)),
  INDEX(door_open[Probability],MATCH($G25,door_open[door_open],0)),
  INDEX(smoke_seal[Probability],MATCH($H25,smoke_seal[smoke_seal],0))
)</f>
        <v>0.1088932572</v>
      </c>
      <c r="L2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25" t="str">
        <f>event_tree[[#This Row],[ASET_scenario]]&amp;Inputs!$F$8</f>
        <v>X6</v>
      </c>
      <c r="N2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2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25" t="str">
        <f>event_tree[[#This Row],[fire_location]]&amp;Inputs!$F$8</f>
        <v>Apartment6</v>
      </c>
      <c r="Q2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25">
        <f>IF(event_tree[[#This Row],[fire_location]]="Apartment",Inputs!$F$11,Inputs!$F$12)</f>
        <v>60</v>
      </c>
      <c r="S25">
        <f>10+Inputs!$F$8</f>
        <v>16</v>
      </c>
      <c r="T2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25">
        <f>IF(event_tree[[#This Row],[fire_location]]="Apartment",Inputs!$F$12,Inputs!$F$11)</f>
        <v>600</v>
      </c>
      <c r="V25">
        <f>10+Inputs!$F$8</f>
        <v>16</v>
      </c>
      <c r="W25">
        <f>30</f>
        <v>30</v>
      </c>
      <c r="X25" t="str">
        <f>IF(event_tree[[#This Row],[ASET_scenario]]="X","extinguish",
   event_tree[[#This Row],[SOU_tdet]] + event_tree[[#This Row],[SOU_tpre]] + event_tree[[#This Row],[tnot]])</f>
        <v>extinguish</v>
      </c>
      <c r="Y25" t="str">
        <f>IF(event_tree[[#This Row],[ASET_scenario]]="X","extinguish",
   event_tree[[#This Row],[SOU_inside_RSET]] + event_tree[[#This Row],[SOU_ttrav]])</f>
        <v>extinguish</v>
      </c>
      <c r="Z2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25" t="str">
        <f>IF(event_tree[[#This Row],[ASET_scenario]]="X","extinguish", event_tree[[#This Row],[apt_ASET]]/event_tree[[#This Row],[SOU_inside_RSET]])</f>
        <v>extinguish</v>
      </c>
      <c r="AB25" t="str">
        <f>IF(event_tree[[#This Row],[ASET_scenario]]="X","extinguish",event_tree[[#This Row],[cor_ASET]]/event_tree[[#This Row],[SOU_outside_RSET]])</f>
        <v>extinguish</v>
      </c>
      <c r="AC25" t="str">
        <f>IF(event_tree[[#This Row],[ASET_scenario]]="X","extinguish",event_tree[[#This Row],[cor_ASET]]/event_tree[[#This Row],[remote_RSET]])</f>
        <v>extinguish</v>
      </c>
      <c r="AD25" t="b">
        <f>IF(OR(event_tree[[#This Row],[SOU_inside_ratio]]&lt;1,event_tree[[#This Row],[SOU_outside_ratio]]&lt;1),2)</f>
        <v>0</v>
      </c>
      <c r="AE25" t="b">
        <f>IF(event_tree[[#This Row],[remote_ratio]]&lt;1,2*(Inputs!$F$5-1))</f>
        <v>0</v>
      </c>
      <c r="AF25">
        <f>event_tree[[#This Row],[SOU_casualty]]+event_tree[[#This Row],[remote_casualty]]</f>
        <v>0</v>
      </c>
      <c r="AG25">
        <f>event_tree[[#This Row],[fire_frequency]]*event_tree[[#This Row],[probability_of_scenario]]</f>
        <v>8.4936740615999991E-4</v>
      </c>
      <c r="AH25">
        <f>event_tree[[#This Row],[total_casualty]]*event_tree[[#This Row],[fire_probability]]</f>
        <v>0</v>
      </c>
    </row>
    <row r="26" spans="1:34" x14ac:dyDescent="0.25">
      <c r="A26">
        <v>25</v>
      </c>
      <c r="B26" t="str" cm="1">
        <f t="array" ref="B2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6" t="str" cm="1">
        <f t="array" ref="C2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6" t="str" cm="1">
        <f t="array" ref="D2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26" t="str" cm="1">
        <f t="array" ref="E26">INDEX(sprinkler[sprinkler],
  1+MOD(QUOTIENT(ROW()-ROW($B$2),
     ROWS(manual_suppression[manual_suppression])*
     ROWS(door_open[door_open])*
     ROWS(smoke_seal[smoke_seal])
  ),
  ROWS(sprinkler[sprinkler]))
)</f>
        <v>Fail</v>
      </c>
      <c r="F26" t="str" cm="1">
        <f t="array" ref="F26">INDEX(manual_suppression[manual_suppression],
  1+MOD(QUOTIENT(ROW()-ROW($B$2),
     ROWS(door_open[door_open])*
     ROWS(smoke_seal[smoke_seal])
  ),
  ROWS(manual_suppression[manual_suppression]))
)</f>
        <v>Fail</v>
      </c>
      <c r="G26" t="str" cm="1">
        <f t="array" ref="G26">INDEX(door_open[door_open],
  1+MOD(QUOTIENT(ROW()-ROW($B$2),
     ROWS(smoke_seal[smoke_seal])
  ),
  ROWS(door_open[door_open]))
)</f>
        <v>Open</v>
      </c>
      <c r="H26" t="str" cm="1">
        <f t="array" ref="H26">INDEX(smoke_seal[smoke_seal],
  1+MOD(ROW()-ROW($B$2), ROWS(smoke_seal[smoke_seal]))
)</f>
        <v>Fail</v>
      </c>
      <c r="I26" t="str">
        <f>IF(event_tree[[#This Row],[door_open]]="Open","Open",IF(event_tree[[#This Row],[smoke_seal]]="Success","Close","Part"))</f>
        <v>Open</v>
      </c>
      <c r="J26">
        <f>IF(B26="apartment",Inputs!$I$7,Inputs!$I$6)</f>
        <v>7.7999999999999996E-3</v>
      </c>
      <c r="K26">
        <f>PRODUCT(
  INDEX(fire_location[Probability],MATCH($B26,fire_location[fire_location],0)),
  INDEX(smoke_detection_apt[Probability],MATCH($C26,smoke_detection_apt[smoke_detection_apt],0)),
  INDEX(smoke_detection_corridor[Probability],MATCH($D26,smoke_detection_corridor[smoke_detection_corridor],0)),
  INDEX(sprinkler[Probability],MATCH($E26,sprinkler[sprinkler],0)),
  INDEX(manual_suppression[Probability],MATCH($F26,manual_suppression[manual_suppression],0)),
  INDEX(door_open[Probability],MATCH($G26,door_open[door_open],0)),
  INDEX(smoke_seal[Probability],MATCH($H26,smoke_seal[smoke_seal],0))
)</f>
        <v>3.1322024999999999E-4</v>
      </c>
      <c r="L2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A</v>
      </c>
      <c r="M26" t="str">
        <f>event_tree[[#This Row],[ASET_scenario]]&amp;Inputs!$F$8</f>
        <v>A6</v>
      </c>
      <c r="N26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26">
        <f>IF(OR(event_tree[[#This Row],[sprinkler]]="Extinguish",event_tree[[#This Row],[manual_suppression]]="Suppress"),"extinguish",_xlfn.XLOOKUP(event_tree[[#This Row],[ASET_helper1]],ASET_data[ASET_helper1],ASET_data[cor_ASET]))</f>
        <v>92</v>
      </c>
      <c r="P26" t="str">
        <f>event_tree[[#This Row],[fire_location]]&amp;Inputs!$F$8</f>
        <v>Apartment6</v>
      </c>
      <c r="Q2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26">
        <f>IF(event_tree[[#This Row],[fire_location]]="Apartment",Inputs!$F$11,Inputs!$F$12)</f>
        <v>60</v>
      </c>
      <c r="S26">
        <f>10+Inputs!$F$8</f>
        <v>16</v>
      </c>
      <c r="T2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26">
        <f>IF(event_tree[[#This Row],[fire_location]]="Apartment",Inputs!$F$12,Inputs!$F$11)</f>
        <v>600</v>
      </c>
      <c r="V26">
        <f>10+Inputs!$F$8</f>
        <v>16</v>
      </c>
      <c r="W26">
        <f>30</f>
        <v>30</v>
      </c>
      <c r="X26">
        <f>IF(event_tree[[#This Row],[ASET_scenario]]="X","extinguish",
   event_tree[[#This Row],[SOU_tdet]] + event_tree[[#This Row],[SOU_tpre]] + event_tree[[#This Row],[tnot]])</f>
        <v>127</v>
      </c>
      <c r="Y26">
        <f>IF(event_tree[[#This Row],[ASET_scenario]]="X","extinguish",
   event_tree[[#This Row],[SOU_inside_RSET]] + event_tree[[#This Row],[SOU_ttrav]])</f>
        <v>143</v>
      </c>
      <c r="Z26">
        <f>IF(event_tree[[#This Row],[ASET_scenario]]="X","extinguish",
   event_tree[[#This Row],[remote_tdet]] + event_tree[[#This Row],[remote_tpre]] + event_tree[[#This Row],[remote_ttrav]] + event_tree[[#This Row],[tnot]])</f>
        <v>983</v>
      </c>
      <c r="AA26">
        <f>IF(event_tree[[#This Row],[ASET_scenario]]="X","extinguish", event_tree[[#This Row],[apt_ASET]]/event_tree[[#This Row],[SOU_inside_RSET]])</f>
        <v>0.49606299212598426</v>
      </c>
      <c r="AB26">
        <f>IF(event_tree[[#This Row],[ASET_scenario]]="X","extinguish",event_tree[[#This Row],[cor_ASET]]/event_tree[[#This Row],[SOU_outside_RSET]])</f>
        <v>0.64335664335664333</v>
      </c>
      <c r="AC26">
        <f>IF(event_tree[[#This Row],[ASET_scenario]]="X","extinguish",event_tree[[#This Row],[cor_ASET]]/event_tree[[#This Row],[remote_RSET]])</f>
        <v>9.3591047812817907E-2</v>
      </c>
      <c r="AD26">
        <f>IF(OR(event_tree[[#This Row],[SOU_inside_ratio]]&lt;1,event_tree[[#This Row],[SOU_outside_ratio]]&lt;1),2)</f>
        <v>2</v>
      </c>
      <c r="AE26">
        <f>IF(event_tree[[#This Row],[remote_ratio]]&lt;1,2*(Inputs!$F$5-1))</f>
        <v>10</v>
      </c>
      <c r="AF26">
        <f>event_tree[[#This Row],[SOU_casualty]]+event_tree[[#This Row],[remote_casualty]]</f>
        <v>12</v>
      </c>
      <c r="AG26">
        <f>event_tree[[#This Row],[fire_frequency]]*event_tree[[#This Row],[probability_of_scenario]]</f>
        <v>2.4431179499999996E-6</v>
      </c>
      <c r="AH26">
        <f>event_tree[[#This Row],[total_casualty]]*event_tree[[#This Row],[fire_probability]]</f>
        <v>2.9317415399999996E-5</v>
      </c>
    </row>
    <row r="27" spans="1:34" x14ac:dyDescent="0.25">
      <c r="A27">
        <v>26</v>
      </c>
      <c r="B27" t="str" cm="1">
        <f t="array" ref="B2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7" t="str" cm="1">
        <f t="array" ref="C2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7" t="str" cm="1">
        <f t="array" ref="D2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27" t="str" cm="1">
        <f t="array" ref="E27">INDEX(sprinkler[sprinkler],
  1+MOD(QUOTIENT(ROW()-ROW($B$2),
     ROWS(manual_suppression[manual_suppression])*
     ROWS(door_open[door_open])*
     ROWS(smoke_seal[smoke_seal])
  ),
  ROWS(sprinkler[sprinkler]))
)</f>
        <v>Fail</v>
      </c>
      <c r="F27" t="str" cm="1">
        <f t="array" ref="F27">INDEX(manual_suppression[manual_suppression],
  1+MOD(QUOTIENT(ROW()-ROW($B$2),
     ROWS(door_open[door_open])*
     ROWS(smoke_seal[smoke_seal])
  ),
  ROWS(manual_suppression[manual_suppression]))
)</f>
        <v>Fail</v>
      </c>
      <c r="G27" t="str" cm="1">
        <f t="array" ref="G27">INDEX(door_open[door_open],
  1+MOD(QUOTIENT(ROW()-ROW($B$2),
     ROWS(smoke_seal[smoke_seal])
  ),
  ROWS(door_open[door_open]))
)</f>
        <v>Open</v>
      </c>
      <c r="H27" t="str" cm="1">
        <f t="array" ref="H27">INDEX(smoke_seal[smoke_seal],
  1+MOD(ROW()-ROW($B$2), ROWS(smoke_seal[smoke_seal]))
)</f>
        <v>Success</v>
      </c>
      <c r="I27" t="str">
        <f>IF(event_tree[[#This Row],[door_open]]="Open","Open",IF(event_tree[[#This Row],[smoke_seal]]="Success","Close","Part"))</f>
        <v>Open</v>
      </c>
      <c r="J27">
        <f>IF(B27="apartment",Inputs!$I$7,Inputs!$I$6)</f>
        <v>7.7999999999999996E-3</v>
      </c>
      <c r="K27">
        <f>PRODUCT(
  INDEX(fire_location[Probability],MATCH($B27,fire_location[fire_location],0)),
  INDEX(smoke_detection_apt[Probability],MATCH($C27,smoke_detection_apt[smoke_detection_apt],0)),
  INDEX(smoke_detection_corridor[Probability],MATCH($D27,smoke_detection_corridor[smoke_detection_corridor],0)),
  INDEX(sprinkler[Probability],MATCH($E27,sprinkler[sprinkler],0)),
  INDEX(manual_suppression[Probability],MATCH($F27,manual_suppression[manual_suppression],0)),
  INDEX(door_open[Probability],MATCH($G27,door_open[door_open],0)),
  INDEX(smoke_seal[Probability],MATCH($H27,smoke_seal[smoke_seal],0))
)</f>
        <v>5.8169475000000004E-4</v>
      </c>
      <c r="L2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A</v>
      </c>
      <c r="M27" t="str">
        <f>event_tree[[#This Row],[ASET_scenario]]&amp;Inputs!$F$8</f>
        <v>A6</v>
      </c>
      <c r="N27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27">
        <f>IF(OR(event_tree[[#This Row],[sprinkler]]="Extinguish",event_tree[[#This Row],[manual_suppression]]="Suppress"),"extinguish",_xlfn.XLOOKUP(event_tree[[#This Row],[ASET_helper1]],ASET_data[ASET_helper1],ASET_data[cor_ASET]))</f>
        <v>92</v>
      </c>
      <c r="P27" t="str">
        <f>event_tree[[#This Row],[fire_location]]&amp;Inputs!$F$8</f>
        <v>Apartment6</v>
      </c>
      <c r="Q2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27">
        <f>IF(event_tree[[#This Row],[fire_location]]="Apartment",Inputs!$F$11,Inputs!$F$12)</f>
        <v>60</v>
      </c>
      <c r="S27">
        <f>10+Inputs!$F$8</f>
        <v>16</v>
      </c>
      <c r="T2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27">
        <f>IF(event_tree[[#This Row],[fire_location]]="Apartment",Inputs!$F$12,Inputs!$F$11)</f>
        <v>600</v>
      </c>
      <c r="V27">
        <f>10+Inputs!$F$8</f>
        <v>16</v>
      </c>
      <c r="W27">
        <f>30</f>
        <v>30</v>
      </c>
      <c r="X27">
        <f>IF(event_tree[[#This Row],[ASET_scenario]]="X","extinguish",
   event_tree[[#This Row],[SOU_tdet]] + event_tree[[#This Row],[SOU_tpre]] + event_tree[[#This Row],[tnot]])</f>
        <v>127</v>
      </c>
      <c r="Y27">
        <f>IF(event_tree[[#This Row],[ASET_scenario]]="X","extinguish",
   event_tree[[#This Row],[SOU_inside_RSET]] + event_tree[[#This Row],[SOU_ttrav]])</f>
        <v>143</v>
      </c>
      <c r="Z27">
        <f>IF(event_tree[[#This Row],[ASET_scenario]]="X","extinguish",
   event_tree[[#This Row],[remote_tdet]] + event_tree[[#This Row],[remote_tpre]] + event_tree[[#This Row],[remote_ttrav]] + event_tree[[#This Row],[tnot]])</f>
        <v>983</v>
      </c>
      <c r="AA27">
        <f>IF(event_tree[[#This Row],[ASET_scenario]]="X","extinguish", event_tree[[#This Row],[apt_ASET]]/event_tree[[#This Row],[SOU_inside_RSET]])</f>
        <v>0.49606299212598426</v>
      </c>
      <c r="AB27">
        <f>IF(event_tree[[#This Row],[ASET_scenario]]="X","extinguish",event_tree[[#This Row],[cor_ASET]]/event_tree[[#This Row],[SOU_outside_RSET]])</f>
        <v>0.64335664335664333</v>
      </c>
      <c r="AC27">
        <f>IF(event_tree[[#This Row],[ASET_scenario]]="X","extinguish",event_tree[[#This Row],[cor_ASET]]/event_tree[[#This Row],[remote_RSET]])</f>
        <v>9.3591047812817907E-2</v>
      </c>
      <c r="AD27">
        <f>IF(OR(event_tree[[#This Row],[SOU_inside_ratio]]&lt;1,event_tree[[#This Row],[SOU_outside_ratio]]&lt;1),2)</f>
        <v>2</v>
      </c>
      <c r="AE27">
        <f>IF(event_tree[[#This Row],[remote_ratio]]&lt;1,2*(Inputs!$F$5-1))</f>
        <v>10</v>
      </c>
      <c r="AF27">
        <f>event_tree[[#This Row],[SOU_casualty]]+event_tree[[#This Row],[remote_casualty]]</f>
        <v>12</v>
      </c>
      <c r="AG27">
        <f>event_tree[[#This Row],[fire_frequency]]*event_tree[[#This Row],[probability_of_scenario]]</f>
        <v>4.5372190499999998E-6</v>
      </c>
      <c r="AH27">
        <f>event_tree[[#This Row],[total_casualty]]*event_tree[[#This Row],[fire_probability]]</f>
        <v>5.4446628600000001E-5</v>
      </c>
    </row>
    <row r="28" spans="1:34" x14ac:dyDescent="0.25">
      <c r="A28">
        <v>27</v>
      </c>
      <c r="B28" t="str" cm="1">
        <f t="array" ref="B2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8" t="str" cm="1">
        <f t="array" ref="C2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8" t="str" cm="1">
        <f t="array" ref="D2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28" t="str" cm="1">
        <f t="array" ref="E28">INDEX(sprinkler[sprinkler],
  1+MOD(QUOTIENT(ROW()-ROW($B$2),
     ROWS(manual_suppression[manual_suppression])*
     ROWS(door_open[door_open])*
     ROWS(smoke_seal[smoke_seal])
  ),
  ROWS(sprinkler[sprinkler]))
)</f>
        <v>Fail</v>
      </c>
      <c r="F28" t="str" cm="1">
        <f t="array" ref="F28">INDEX(manual_suppression[manual_suppression],
  1+MOD(QUOTIENT(ROW()-ROW($B$2),
     ROWS(door_open[door_open])*
     ROWS(smoke_seal[smoke_seal])
  ),
  ROWS(manual_suppression[manual_suppression]))
)</f>
        <v>Fail</v>
      </c>
      <c r="G28" t="str" cm="1">
        <f t="array" ref="G28">INDEX(door_open[door_open],
  1+MOD(QUOTIENT(ROW()-ROW($B$2),
     ROWS(smoke_seal[smoke_seal])
  ),
  ROWS(door_open[door_open]))
)</f>
        <v>Closed</v>
      </c>
      <c r="H28" t="str" cm="1">
        <f t="array" ref="H28">INDEX(smoke_seal[smoke_seal],
  1+MOD(ROW()-ROW($B$2), ROWS(smoke_seal[smoke_seal]))
)</f>
        <v>Fail</v>
      </c>
      <c r="I28" t="str">
        <f>IF(event_tree[[#This Row],[door_open]]="Open","Open",IF(event_tree[[#This Row],[smoke_seal]]="Success","Close","Part"))</f>
        <v>Part</v>
      </c>
      <c r="J28">
        <f>IF(B28="apartment",Inputs!$I$7,Inputs!$I$6)</f>
        <v>7.7999999999999996E-3</v>
      </c>
      <c r="K28">
        <f>PRODUCT(
  INDEX(fire_location[Probability],MATCH($B28,fire_location[fire_location],0)),
  INDEX(smoke_detection_apt[Probability],MATCH($C28,smoke_detection_apt[smoke_detection_apt],0)),
  INDEX(smoke_detection_corridor[Probability],MATCH($D28,smoke_detection_corridor[smoke_detection_corridor],0)),
  INDEX(sprinkler[Probability],MATCH($E28,sprinkler[sprinkler],0)),
  INDEX(manual_suppression[Probability],MATCH($F28,manual_suppression[manual_suppression],0)),
  INDEX(door_open[Probability],MATCH($G28,door_open[door_open],0)),
  INDEX(smoke_seal[Probability],MATCH($H28,smoke_seal[smoke_seal],0))
)</f>
        <v>7.3084724999999994E-4</v>
      </c>
      <c r="L2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C</v>
      </c>
      <c r="M28" t="str">
        <f>event_tree[[#This Row],[ASET_scenario]]&amp;Inputs!$F$8</f>
        <v>C6</v>
      </c>
      <c r="N28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28">
        <f>IF(OR(event_tree[[#This Row],[sprinkler]]="Extinguish",event_tree[[#This Row],[manual_suppression]]="Suppress"),"extinguish",_xlfn.XLOOKUP(event_tree[[#This Row],[ASET_helper1]],ASET_data[ASET_helper1],ASET_data[cor_ASET]))</f>
        <v>125</v>
      </c>
      <c r="P28" t="str">
        <f>event_tree[[#This Row],[fire_location]]&amp;Inputs!$F$8</f>
        <v>Apartment6</v>
      </c>
      <c r="Q2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28">
        <f>IF(event_tree[[#This Row],[fire_location]]="Apartment",Inputs!$F$11,Inputs!$F$12)</f>
        <v>60</v>
      </c>
      <c r="S28">
        <f>10+Inputs!$F$8</f>
        <v>16</v>
      </c>
      <c r="T2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28">
        <f>IF(event_tree[[#This Row],[fire_location]]="Apartment",Inputs!$F$12,Inputs!$F$11)</f>
        <v>600</v>
      </c>
      <c r="V28">
        <f>10+Inputs!$F$8</f>
        <v>16</v>
      </c>
      <c r="W28">
        <f>30</f>
        <v>30</v>
      </c>
      <c r="X28">
        <f>IF(event_tree[[#This Row],[ASET_scenario]]="X","extinguish",
   event_tree[[#This Row],[SOU_tdet]] + event_tree[[#This Row],[SOU_tpre]] + event_tree[[#This Row],[tnot]])</f>
        <v>127</v>
      </c>
      <c r="Y28">
        <f>IF(event_tree[[#This Row],[ASET_scenario]]="X","extinguish",
   event_tree[[#This Row],[SOU_inside_RSET]] + event_tree[[#This Row],[SOU_ttrav]])</f>
        <v>143</v>
      </c>
      <c r="Z28">
        <f>IF(event_tree[[#This Row],[ASET_scenario]]="X","extinguish",
   event_tree[[#This Row],[remote_tdet]] + event_tree[[#This Row],[remote_tpre]] + event_tree[[#This Row],[remote_ttrav]] + event_tree[[#This Row],[tnot]])</f>
        <v>983</v>
      </c>
      <c r="AA28">
        <f>IF(event_tree[[#This Row],[ASET_scenario]]="X","extinguish", event_tree[[#This Row],[apt_ASET]]/event_tree[[#This Row],[SOU_inside_RSET]])</f>
        <v>0.49606299212598426</v>
      </c>
      <c r="AB28">
        <f>IF(event_tree[[#This Row],[ASET_scenario]]="X","extinguish",event_tree[[#This Row],[cor_ASET]]/event_tree[[#This Row],[SOU_outside_RSET]])</f>
        <v>0.87412587412587417</v>
      </c>
      <c r="AC28">
        <f>IF(event_tree[[#This Row],[ASET_scenario]]="X","extinguish",event_tree[[#This Row],[cor_ASET]]/event_tree[[#This Row],[remote_RSET]])</f>
        <v>0.12716174974567651</v>
      </c>
      <c r="AD28">
        <f>IF(OR(event_tree[[#This Row],[SOU_inside_ratio]]&lt;1,event_tree[[#This Row],[SOU_outside_ratio]]&lt;1),2)</f>
        <v>2</v>
      </c>
      <c r="AE28">
        <f>IF(event_tree[[#This Row],[remote_ratio]]&lt;1,2*(Inputs!$F$5-1))</f>
        <v>10</v>
      </c>
      <c r="AF28">
        <f>event_tree[[#This Row],[SOU_casualty]]+event_tree[[#This Row],[remote_casualty]]</f>
        <v>12</v>
      </c>
      <c r="AG28">
        <f>event_tree[[#This Row],[fire_frequency]]*event_tree[[#This Row],[probability_of_scenario]]</f>
        <v>5.7006085499999991E-6</v>
      </c>
      <c r="AH28">
        <f>event_tree[[#This Row],[total_casualty]]*event_tree[[#This Row],[fire_probability]]</f>
        <v>6.8407302599999986E-5</v>
      </c>
    </row>
    <row r="29" spans="1:34" x14ac:dyDescent="0.25">
      <c r="A29">
        <v>28</v>
      </c>
      <c r="B29" t="str" cm="1">
        <f t="array" ref="B2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29" t="str" cm="1">
        <f t="array" ref="C2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29" t="str" cm="1">
        <f t="array" ref="D2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29" t="str" cm="1">
        <f t="array" ref="E29">INDEX(sprinkler[sprinkler],
  1+MOD(QUOTIENT(ROW()-ROW($B$2),
     ROWS(manual_suppression[manual_suppression])*
     ROWS(door_open[door_open])*
     ROWS(smoke_seal[smoke_seal])
  ),
  ROWS(sprinkler[sprinkler]))
)</f>
        <v>Fail</v>
      </c>
      <c r="F29" t="str" cm="1">
        <f t="array" ref="F29">INDEX(manual_suppression[manual_suppression],
  1+MOD(QUOTIENT(ROW()-ROW($B$2),
     ROWS(door_open[door_open])*
     ROWS(smoke_seal[smoke_seal])
  ),
  ROWS(manual_suppression[manual_suppression]))
)</f>
        <v>Fail</v>
      </c>
      <c r="G29" t="str" cm="1">
        <f t="array" ref="G29">INDEX(door_open[door_open],
  1+MOD(QUOTIENT(ROW()-ROW($B$2),
     ROWS(smoke_seal[smoke_seal])
  ),
  ROWS(door_open[door_open]))
)</f>
        <v>Closed</v>
      </c>
      <c r="H29" t="str" cm="1">
        <f t="array" ref="H29">INDEX(smoke_seal[smoke_seal],
  1+MOD(ROW()-ROW($B$2), ROWS(smoke_seal[smoke_seal]))
)</f>
        <v>Success</v>
      </c>
      <c r="I29" t="str">
        <f>IF(event_tree[[#This Row],[door_open]]="Open","Open",IF(event_tree[[#This Row],[smoke_seal]]="Success","Close","Part"))</f>
        <v>Close</v>
      </c>
      <c r="J29">
        <f>IF(B29="apartment",Inputs!$I$7,Inputs!$I$6)</f>
        <v>7.7999999999999996E-3</v>
      </c>
      <c r="K29">
        <f>PRODUCT(
  INDEX(fire_location[Probability],MATCH($B29,fire_location[fire_location],0)),
  INDEX(smoke_detection_apt[Probability],MATCH($C29,smoke_detection_apt[smoke_detection_apt],0)),
  INDEX(smoke_detection_corridor[Probability],MATCH($D29,smoke_detection_corridor[smoke_detection_corridor],0)),
  INDEX(sprinkler[Probability],MATCH($E29,sprinkler[sprinkler],0)),
  INDEX(manual_suppression[Probability],MATCH($F29,manual_suppression[manual_suppression],0)),
  INDEX(door_open[Probability],MATCH($G29,door_open[door_open],0)),
  INDEX(smoke_seal[Probability],MATCH($H29,smoke_seal[smoke_seal],0))
)</f>
        <v>1.35728775E-3</v>
      </c>
      <c r="L2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B</v>
      </c>
      <c r="M29" t="str">
        <f>event_tree[[#This Row],[ASET_scenario]]&amp;Inputs!$F$8</f>
        <v>B6</v>
      </c>
      <c r="N29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29">
        <f>IF(OR(event_tree[[#This Row],[sprinkler]]="Extinguish",event_tree[[#This Row],[manual_suppression]]="Suppress"),"extinguish",_xlfn.XLOOKUP(event_tree[[#This Row],[ASET_helper1]],ASET_data[ASET_helper1],ASET_data[cor_ASET]))</f>
        <v>3600</v>
      </c>
      <c r="P29" t="str">
        <f>event_tree[[#This Row],[fire_location]]&amp;Inputs!$F$8</f>
        <v>Apartment6</v>
      </c>
      <c r="Q2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29">
        <f>IF(event_tree[[#This Row],[fire_location]]="Apartment",Inputs!$F$11,Inputs!$F$12)</f>
        <v>60</v>
      </c>
      <c r="S29">
        <f>10+Inputs!$F$8</f>
        <v>16</v>
      </c>
      <c r="T2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29">
        <f>IF(event_tree[[#This Row],[fire_location]]="Apartment",Inputs!$F$12,Inputs!$F$11)</f>
        <v>600</v>
      </c>
      <c r="V29">
        <f>10+Inputs!$F$8</f>
        <v>16</v>
      </c>
      <c r="W29">
        <f>30</f>
        <v>30</v>
      </c>
      <c r="X29">
        <f>IF(event_tree[[#This Row],[ASET_scenario]]="X","extinguish",
   event_tree[[#This Row],[SOU_tdet]] + event_tree[[#This Row],[SOU_tpre]] + event_tree[[#This Row],[tnot]])</f>
        <v>127</v>
      </c>
      <c r="Y29">
        <f>IF(event_tree[[#This Row],[ASET_scenario]]="X","extinguish",
   event_tree[[#This Row],[SOU_inside_RSET]] + event_tree[[#This Row],[SOU_ttrav]])</f>
        <v>143</v>
      </c>
      <c r="Z29">
        <f>IF(event_tree[[#This Row],[ASET_scenario]]="X","extinguish",
   event_tree[[#This Row],[remote_tdet]] + event_tree[[#This Row],[remote_tpre]] + event_tree[[#This Row],[remote_ttrav]] + event_tree[[#This Row],[tnot]])</f>
        <v>983</v>
      </c>
      <c r="AA29">
        <f>IF(event_tree[[#This Row],[ASET_scenario]]="X","extinguish", event_tree[[#This Row],[apt_ASET]]/event_tree[[#This Row],[SOU_inside_RSET]])</f>
        <v>0.49606299212598426</v>
      </c>
      <c r="AB29">
        <f>IF(event_tree[[#This Row],[ASET_scenario]]="X","extinguish",event_tree[[#This Row],[cor_ASET]]/event_tree[[#This Row],[SOU_outside_RSET]])</f>
        <v>25.174825174825173</v>
      </c>
      <c r="AC29">
        <f>IF(event_tree[[#This Row],[ASET_scenario]]="X","extinguish",event_tree[[#This Row],[cor_ASET]]/event_tree[[#This Row],[remote_RSET]])</f>
        <v>3.6622583926754833</v>
      </c>
      <c r="AD29">
        <f>IF(OR(event_tree[[#This Row],[SOU_inside_ratio]]&lt;1,event_tree[[#This Row],[SOU_outside_ratio]]&lt;1),2)</f>
        <v>2</v>
      </c>
      <c r="AE29" t="b">
        <f>IF(event_tree[[#This Row],[remote_ratio]]&lt;1,2*(Inputs!$F$5-1))</f>
        <v>0</v>
      </c>
      <c r="AF29">
        <f>event_tree[[#This Row],[SOU_casualty]]+event_tree[[#This Row],[remote_casualty]]</f>
        <v>2</v>
      </c>
      <c r="AG29">
        <f>event_tree[[#This Row],[fire_frequency]]*event_tree[[#This Row],[probability_of_scenario]]</f>
        <v>1.0586844449999999E-5</v>
      </c>
      <c r="AH29">
        <f>event_tree[[#This Row],[total_casualty]]*event_tree[[#This Row],[fire_probability]]</f>
        <v>2.1173688899999999E-5</v>
      </c>
    </row>
    <row r="30" spans="1:34" x14ac:dyDescent="0.25">
      <c r="A30">
        <v>29</v>
      </c>
      <c r="B30" t="str" cm="1">
        <f t="array" ref="B3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0" t="str" cm="1">
        <f t="array" ref="C3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0" t="str" cm="1">
        <f t="array" ref="D3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0" t="str" cm="1">
        <f t="array" ref="E30">INDEX(sprinkler[sprinkler],
  1+MOD(QUOTIENT(ROW()-ROW($B$2),
     ROWS(manual_suppression[manual_suppression])*
     ROWS(door_open[door_open])*
     ROWS(smoke_seal[smoke_seal])
  ),
  ROWS(sprinkler[sprinkler]))
)</f>
        <v>Fail</v>
      </c>
      <c r="F30" t="str" cm="1">
        <f t="array" ref="F30">INDEX(manual_suppression[manual_suppression],
  1+MOD(QUOTIENT(ROW()-ROW($B$2),
     ROWS(door_open[door_open])*
     ROWS(smoke_seal[smoke_seal])
  ),
  ROWS(manual_suppression[manual_suppression]))
)</f>
        <v>Suppress</v>
      </c>
      <c r="G30" t="str" cm="1">
        <f t="array" ref="G30">INDEX(door_open[door_open],
  1+MOD(QUOTIENT(ROW()-ROW($B$2),
     ROWS(smoke_seal[smoke_seal])
  ),
  ROWS(door_open[door_open]))
)</f>
        <v>Open</v>
      </c>
      <c r="H30" t="str" cm="1">
        <f t="array" ref="H30">INDEX(smoke_seal[smoke_seal],
  1+MOD(ROW()-ROW($B$2), ROWS(smoke_seal[smoke_seal]))
)</f>
        <v>Fail</v>
      </c>
      <c r="I30" t="str">
        <f>IF(event_tree[[#This Row],[door_open]]="Open","Open",IF(event_tree[[#This Row],[smoke_seal]]="Success","Close","Part"))</f>
        <v>Open</v>
      </c>
      <c r="J30">
        <f>IF(B30="apartment",Inputs!$I$7,Inputs!$I$6)</f>
        <v>7.7999999999999996E-3</v>
      </c>
      <c r="K30">
        <f>PRODUCT(
  INDEX(fire_location[Probability],MATCH($B30,fire_location[fire_location],0)),
  INDEX(smoke_detection_apt[Probability],MATCH($C30,smoke_detection_apt[smoke_detection_apt],0)),
  INDEX(smoke_detection_corridor[Probability],MATCH($D30,smoke_detection_corridor[smoke_detection_corridor],0)),
  INDEX(sprinkler[Probability],MATCH($E30,sprinkler[sprinkler],0)),
  INDEX(manual_suppression[Probability],MATCH($F30,manual_suppression[manual_suppression],0)),
  INDEX(door_open[Probability],MATCH($G30,door_open[door_open],0)),
  INDEX(smoke_seal[Probability],MATCH($H30,smoke_seal[smoke_seal],0))
)</f>
        <v>5.8169475000000004E-4</v>
      </c>
      <c r="L3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30" t="str">
        <f>event_tree[[#This Row],[ASET_scenario]]&amp;Inputs!$F$8</f>
        <v>X6</v>
      </c>
      <c r="N3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3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30" t="str">
        <f>event_tree[[#This Row],[fire_location]]&amp;Inputs!$F$8</f>
        <v>Apartment6</v>
      </c>
      <c r="Q3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30">
        <f>IF(event_tree[[#This Row],[fire_location]]="Apartment",Inputs!$F$11,Inputs!$F$12)</f>
        <v>60</v>
      </c>
      <c r="S30">
        <f>10+Inputs!$F$8</f>
        <v>16</v>
      </c>
      <c r="T3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30">
        <f>IF(event_tree[[#This Row],[fire_location]]="Apartment",Inputs!$F$12,Inputs!$F$11)</f>
        <v>600</v>
      </c>
      <c r="V30">
        <f>10+Inputs!$F$8</f>
        <v>16</v>
      </c>
      <c r="W30">
        <f>30</f>
        <v>30</v>
      </c>
      <c r="X30" t="str">
        <f>IF(event_tree[[#This Row],[ASET_scenario]]="X","extinguish",
   event_tree[[#This Row],[SOU_tdet]] + event_tree[[#This Row],[SOU_tpre]] + event_tree[[#This Row],[tnot]])</f>
        <v>extinguish</v>
      </c>
      <c r="Y30" t="str">
        <f>IF(event_tree[[#This Row],[ASET_scenario]]="X","extinguish",
   event_tree[[#This Row],[SOU_inside_RSET]] + event_tree[[#This Row],[SOU_ttrav]])</f>
        <v>extinguish</v>
      </c>
      <c r="Z3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30" t="str">
        <f>IF(event_tree[[#This Row],[ASET_scenario]]="X","extinguish", event_tree[[#This Row],[apt_ASET]]/event_tree[[#This Row],[SOU_inside_RSET]])</f>
        <v>extinguish</v>
      </c>
      <c r="AB30" t="str">
        <f>IF(event_tree[[#This Row],[ASET_scenario]]="X","extinguish",event_tree[[#This Row],[cor_ASET]]/event_tree[[#This Row],[SOU_outside_RSET]])</f>
        <v>extinguish</v>
      </c>
      <c r="AC30" t="str">
        <f>IF(event_tree[[#This Row],[ASET_scenario]]="X","extinguish",event_tree[[#This Row],[cor_ASET]]/event_tree[[#This Row],[remote_RSET]])</f>
        <v>extinguish</v>
      </c>
      <c r="AD30" t="b">
        <f>IF(OR(event_tree[[#This Row],[SOU_inside_ratio]]&lt;1,event_tree[[#This Row],[SOU_outside_ratio]]&lt;1),2)</f>
        <v>0</v>
      </c>
      <c r="AE30" t="b">
        <f>IF(event_tree[[#This Row],[remote_ratio]]&lt;1,2*(Inputs!$F$5-1))</f>
        <v>0</v>
      </c>
      <c r="AF30">
        <f>event_tree[[#This Row],[SOU_casualty]]+event_tree[[#This Row],[remote_casualty]]</f>
        <v>0</v>
      </c>
      <c r="AG30">
        <f>event_tree[[#This Row],[fire_frequency]]*event_tree[[#This Row],[probability_of_scenario]]</f>
        <v>4.5372190499999998E-6</v>
      </c>
      <c r="AH30">
        <f>event_tree[[#This Row],[total_casualty]]*event_tree[[#This Row],[fire_probability]]</f>
        <v>0</v>
      </c>
    </row>
    <row r="31" spans="1:34" x14ac:dyDescent="0.25">
      <c r="A31">
        <v>30</v>
      </c>
      <c r="B31" t="str" cm="1">
        <f t="array" ref="B3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1" t="str" cm="1">
        <f t="array" ref="C3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1" t="str" cm="1">
        <f t="array" ref="D3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1" t="str" cm="1">
        <f t="array" ref="E31">INDEX(sprinkler[sprinkler],
  1+MOD(QUOTIENT(ROW()-ROW($B$2),
     ROWS(manual_suppression[manual_suppression])*
     ROWS(door_open[door_open])*
     ROWS(smoke_seal[smoke_seal])
  ),
  ROWS(sprinkler[sprinkler]))
)</f>
        <v>Fail</v>
      </c>
      <c r="F31" t="str" cm="1">
        <f t="array" ref="F31">INDEX(manual_suppression[manual_suppression],
  1+MOD(QUOTIENT(ROW()-ROW($B$2),
     ROWS(door_open[door_open])*
     ROWS(smoke_seal[smoke_seal])
  ),
  ROWS(manual_suppression[manual_suppression]))
)</f>
        <v>Suppress</v>
      </c>
      <c r="G31" t="str" cm="1">
        <f t="array" ref="G31">INDEX(door_open[door_open],
  1+MOD(QUOTIENT(ROW()-ROW($B$2),
     ROWS(smoke_seal[smoke_seal])
  ),
  ROWS(door_open[door_open]))
)</f>
        <v>Open</v>
      </c>
      <c r="H31" t="str" cm="1">
        <f t="array" ref="H31">INDEX(smoke_seal[smoke_seal],
  1+MOD(ROW()-ROW($B$2), ROWS(smoke_seal[smoke_seal]))
)</f>
        <v>Success</v>
      </c>
      <c r="I31" t="str">
        <f>IF(event_tree[[#This Row],[door_open]]="Open","Open",IF(event_tree[[#This Row],[smoke_seal]]="Success","Close","Part"))</f>
        <v>Open</v>
      </c>
      <c r="J31">
        <f>IF(B31="apartment",Inputs!$I$7,Inputs!$I$6)</f>
        <v>7.7999999999999996E-3</v>
      </c>
      <c r="K31">
        <f>PRODUCT(
  INDEX(fire_location[Probability],MATCH($B31,fire_location[fire_location],0)),
  INDEX(smoke_detection_apt[Probability],MATCH($C31,smoke_detection_apt[smoke_detection_apt],0)),
  INDEX(smoke_detection_corridor[Probability],MATCH($D31,smoke_detection_corridor[smoke_detection_corridor],0)),
  INDEX(sprinkler[Probability],MATCH($E31,sprinkler[sprinkler],0)),
  INDEX(manual_suppression[Probability],MATCH($F31,manual_suppression[manual_suppression],0)),
  INDEX(door_open[Probability],MATCH($G31,door_open[door_open],0)),
  INDEX(smoke_seal[Probability],MATCH($H31,smoke_seal[smoke_seal],0))
)</f>
        <v>1.0802902500000001E-3</v>
      </c>
      <c r="L3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31" t="str">
        <f>event_tree[[#This Row],[ASET_scenario]]&amp;Inputs!$F$8</f>
        <v>X6</v>
      </c>
      <c r="N3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3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31" t="str">
        <f>event_tree[[#This Row],[fire_location]]&amp;Inputs!$F$8</f>
        <v>Apartment6</v>
      </c>
      <c r="Q3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31">
        <f>IF(event_tree[[#This Row],[fire_location]]="Apartment",Inputs!$F$11,Inputs!$F$12)</f>
        <v>60</v>
      </c>
      <c r="S31">
        <f>10+Inputs!$F$8</f>
        <v>16</v>
      </c>
      <c r="T3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31">
        <f>IF(event_tree[[#This Row],[fire_location]]="Apartment",Inputs!$F$12,Inputs!$F$11)</f>
        <v>600</v>
      </c>
      <c r="V31">
        <f>10+Inputs!$F$8</f>
        <v>16</v>
      </c>
      <c r="W31">
        <f>30</f>
        <v>30</v>
      </c>
      <c r="X31" t="str">
        <f>IF(event_tree[[#This Row],[ASET_scenario]]="X","extinguish",
   event_tree[[#This Row],[SOU_tdet]] + event_tree[[#This Row],[SOU_tpre]] + event_tree[[#This Row],[tnot]])</f>
        <v>extinguish</v>
      </c>
      <c r="Y31" t="str">
        <f>IF(event_tree[[#This Row],[ASET_scenario]]="X","extinguish",
   event_tree[[#This Row],[SOU_inside_RSET]] + event_tree[[#This Row],[SOU_ttrav]])</f>
        <v>extinguish</v>
      </c>
      <c r="Z3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31" t="str">
        <f>IF(event_tree[[#This Row],[ASET_scenario]]="X","extinguish", event_tree[[#This Row],[apt_ASET]]/event_tree[[#This Row],[SOU_inside_RSET]])</f>
        <v>extinguish</v>
      </c>
      <c r="AB31" t="str">
        <f>IF(event_tree[[#This Row],[ASET_scenario]]="X","extinguish",event_tree[[#This Row],[cor_ASET]]/event_tree[[#This Row],[SOU_outside_RSET]])</f>
        <v>extinguish</v>
      </c>
      <c r="AC31" t="str">
        <f>IF(event_tree[[#This Row],[ASET_scenario]]="X","extinguish",event_tree[[#This Row],[cor_ASET]]/event_tree[[#This Row],[remote_RSET]])</f>
        <v>extinguish</v>
      </c>
      <c r="AD31" t="b">
        <f>IF(OR(event_tree[[#This Row],[SOU_inside_ratio]]&lt;1,event_tree[[#This Row],[SOU_outside_ratio]]&lt;1),2)</f>
        <v>0</v>
      </c>
      <c r="AE31" t="b">
        <f>IF(event_tree[[#This Row],[remote_ratio]]&lt;1,2*(Inputs!$F$5-1))</f>
        <v>0</v>
      </c>
      <c r="AF31">
        <f>event_tree[[#This Row],[SOU_casualty]]+event_tree[[#This Row],[remote_casualty]]</f>
        <v>0</v>
      </c>
      <c r="AG31">
        <f>event_tree[[#This Row],[fire_frequency]]*event_tree[[#This Row],[probability_of_scenario]]</f>
        <v>8.42626395E-6</v>
      </c>
      <c r="AH31">
        <f>event_tree[[#This Row],[total_casualty]]*event_tree[[#This Row],[fire_probability]]</f>
        <v>0</v>
      </c>
    </row>
    <row r="32" spans="1:34" x14ac:dyDescent="0.25">
      <c r="A32">
        <v>31</v>
      </c>
      <c r="B32" t="str" cm="1">
        <f t="array" ref="B3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2" t="str" cm="1">
        <f t="array" ref="C3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2" t="str" cm="1">
        <f t="array" ref="D3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2" t="str" cm="1">
        <f t="array" ref="E32">INDEX(sprinkler[sprinkler],
  1+MOD(QUOTIENT(ROW()-ROW($B$2),
     ROWS(manual_suppression[manual_suppression])*
     ROWS(door_open[door_open])*
     ROWS(smoke_seal[smoke_seal])
  ),
  ROWS(sprinkler[sprinkler]))
)</f>
        <v>Fail</v>
      </c>
      <c r="F32" t="str" cm="1">
        <f t="array" ref="F32">INDEX(manual_suppression[manual_suppression],
  1+MOD(QUOTIENT(ROW()-ROW($B$2),
     ROWS(door_open[door_open])*
     ROWS(smoke_seal[smoke_seal])
  ),
  ROWS(manual_suppression[manual_suppression]))
)</f>
        <v>Suppress</v>
      </c>
      <c r="G32" t="str" cm="1">
        <f t="array" ref="G32">INDEX(door_open[door_open],
  1+MOD(QUOTIENT(ROW()-ROW($B$2),
     ROWS(smoke_seal[smoke_seal])
  ),
  ROWS(door_open[door_open]))
)</f>
        <v>Closed</v>
      </c>
      <c r="H32" t="str" cm="1">
        <f t="array" ref="H32">INDEX(smoke_seal[smoke_seal],
  1+MOD(ROW()-ROW($B$2), ROWS(smoke_seal[smoke_seal]))
)</f>
        <v>Fail</v>
      </c>
      <c r="I32" t="str">
        <f>IF(event_tree[[#This Row],[door_open]]="Open","Open",IF(event_tree[[#This Row],[smoke_seal]]="Success","Close","Part"))</f>
        <v>Part</v>
      </c>
      <c r="J32">
        <f>IF(B32="apartment",Inputs!$I$7,Inputs!$I$6)</f>
        <v>7.7999999999999996E-3</v>
      </c>
      <c r="K32">
        <f>PRODUCT(
  INDEX(fire_location[Probability],MATCH($B32,fire_location[fire_location],0)),
  INDEX(smoke_detection_apt[Probability],MATCH($C32,smoke_detection_apt[smoke_detection_apt],0)),
  INDEX(smoke_detection_corridor[Probability],MATCH($D32,smoke_detection_corridor[smoke_detection_corridor],0)),
  INDEX(sprinkler[Probability],MATCH($E32,sprinkler[sprinkler],0)),
  INDEX(manual_suppression[Probability],MATCH($F32,manual_suppression[manual_suppression],0)),
  INDEX(door_open[Probability],MATCH($G32,door_open[door_open],0)),
  INDEX(smoke_seal[Probability],MATCH($H32,smoke_seal[smoke_seal],0))
)</f>
        <v>1.35728775E-3</v>
      </c>
      <c r="L3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32" t="str">
        <f>event_tree[[#This Row],[ASET_scenario]]&amp;Inputs!$F$8</f>
        <v>X6</v>
      </c>
      <c r="N3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3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32" t="str">
        <f>event_tree[[#This Row],[fire_location]]&amp;Inputs!$F$8</f>
        <v>Apartment6</v>
      </c>
      <c r="Q3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32">
        <f>IF(event_tree[[#This Row],[fire_location]]="Apartment",Inputs!$F$11,Inputs!$F$12)</f>
        <v>60</v>
      </c>
      <c r="S32">
        <f>10+Inputs!$F$8</f>
        <v>16</v>
      </c>
      <c r="T3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32">
        <f>IF(event_tree[[#This Row],[fire_location]]="Apartment",Inputs!$F$12,Inputs!$F$11)</f>
        <v>600</v>
      </c>
      <c r="V32">
        <f>10+Inputs!$F$8</f>
        <v>16</v>
      </c>
      <c r="W32">
        <f>30</f>
        <v>30</v>
      </c>
      <c r="X32" t="str">
        <f>IF(event_tree[[#This Row],[ASET_scenario]]="X","extinguish",
   event_tree[[#This Row],[SOU_tdet]] + event_tree[[#This Row],[SOU_tpre]] + event_tree[[#This Row],[tnot]])</f>
        <v>extinguish</v>
      </c>
      <c r="Y32" t="str">
        <f>IF(event_tree[[#This Row],[ASET_scenario]]="X","extinguish",
   event_tree[[#This Row],[SOU_inside_RSET]] + event_tree[[#This Row],[SOU_ttrav]])</f>
        <v>extinguish</v>
      </c>
      <c r="Z3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32" t="str">
        <f>IF(event_tree[[#This Row],[ASET_scenario]]="X","extinguish", event_tree[[#This Row],[apt_ASET]]/event_tree[[#This Row],[SOU_inside_RSET]])</f>
        <v>extinguish</v>
      </c>
      <c r="AB32" t="str">
        <f>IF(event_tree[[#This Row],[ASET_scenario]]="X","extinguish",event_tree[[#This Row],[cor_ASET]]/event_tree[[#This Row],[SOU_outside_RSET]])</f>
        <v>extinguish</v>
      </c>
      <c r="AC32" t="str">
        <f>IF(event_tree[[#This Row],[ASET_scenario]]="X","extinguish",event_tree[[#This Row],[cor_ASET]]/event_tree[[#This Row],[remote_RSET]])</f>
        <v>extinguish</v>
      </c>
      <c r="AD32" t="b">
        <f>IF(OR(event_tree[[#This Row],[SOU_inside_ratio]]&lt;1,event_tree[[#This Row],[SOU_outside_ratio]]&lt;1),2)</f>
        <v>0</v>
      </c>
      <c r="AE32" t="b">
        <f>IF(event_tree[[#This Row],[remote_ratio]]&lt;1,2*(Inputs!$F$5-1))</f>
        <v>0</v>
      </c>
      <c r="AF32">
        <f>event_tree[[#This Row],[SOU_casualty]]+event_tree[[#This Row],[remote_casualty]]</f>
        <v>0</v>
      </c>
      <c r="AG32">
        <f>event_tree[[#This Row],[fire_frequency]]*event_tree[[#This Row],[probability_of_scenario]]</f>
        <v>1.0586844449999999E-5</v>
      </c>
      <c r="AH32">
        <f>event_tree[[#This Row],[total_casualty]]*event_tree[[#This Row],[fire_probability]]</f>
        <v>0</v>
      </c>
    </row>
    <row r="33" spans="1:34" x14ac:dyDescent="0.25">
      <c r="A33">
        <v>32</v>
      </c>
      <c r="B33" t="str" cm="1">
        <f t="array" ref="B3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3" t="str" cm="1">
        <f t="array" ref="C3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3" t="str" cm="1">
        <f t="array" ref="D3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3" t="str" cm="1">
        <f t="array" ref="E33">INDEX(sprinkler[sprinkler],
  1+MOD(QUOTIENT(ROW()-ROW($B$2),
     ROWS(manual_suppression[manual_suppression])*
     ROWS(door_open[door_open])*
     ROWS(smoke_seal[smoke_seal])
  ),
  ROWS(sprinkler[sprinkler]))
)</f>
        <v>Fail</v>
      </c>
      <c r="F33" t="str" cm="1">
        <f t="array" ref="F33">INDEX(manual_suppression[manual_suppression],
  1+MOD(QUOTIENT(ROW()-ROW($B$2),
     ROWS(door_open[door_open])*
     ROWS(smoke_seal[smoke_seal])
  ),
  ROWS(manual_suppression[manual_suppression]))
)</f>
        <v>Suppress</v>
      </c>
      <c r="G33" t="str" cm="1">
        <f t="array" ref="G33">INDEX(door_open[door_open],
  1+MOD(QUOTIENT(ROW()-ROW($B$2),
     ROWS(smoke_seal[smoke_seal])
  ),
  ROWS(door_open[door_open]))
)</f>
        <v>Closed</v>
      </c>
      <c r="H33" t="str" cm="1">
        <f t="array" ref="H33">INDEX(smoke_seal[smoke_seal],
  1+MOD(ROW()-ROW($B$2), ROWS(smoke_seal[smoke_seal]))
)</f>
        <v>Success</v>
      </c>
      <c r="I33" t="str">
        <f>IF(event_tree[[#This Row],[door_open]]="Open","Open",IF(event_tree[[#This Row],[smoke_seal]]="Success","Close","Part"))</f>
        <v>Close</v>
      </c>
      <c r="J33">
        <f>IF(B33="apartment",Inputs!$I$7,Inputs!$I$6)</f>
        <v>7.7999999999999996E-3</v>
      </c>
      <c r="K33">
        <f>PRODUCT(
  INDEX(fire_location[Probability],MATCH($B33,fire_location[fire_location],0)),
  INDEX(smoke_detection_apt[Probability],MATCH($C33,smoke_detection_apt[smoke_detection_apt],0)),
  INDEX(smoke_detection_corridor[Probability],MATCH($D33,smoke_detection_corridor[smoke_detection_corridor],0)),
  INDEX(sprinkler[Probability],MATCH($E33,sprinkler[sprinkler],0)),
  INDEX(manual_suppression[Probability],MATCH($F33,manual_suppression[manual_suppression],0)),
  INDEX(door_open[Probability],MATCH($G33,door_open[door_open],0)),
  INDEX(smoke_seal[Probability],MATCH($H33,smoke_seal[smoke_seal],0))
)</f>
        <v>2.5206772500000005E-3</v>
      </c>
      <c r="L3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33" t="str">
        <f>event_tree[[#This Row],[ASET_scenario]]&amp;Inputs!$F$8</f>
        <v>X6</v>
      </c>
      <c r="N3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3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33" t="str">
        <f>event_tree[[#This Row],[fire_location]]&amp;Inputs!$F$8</f>
        <v>Apartment6</v>
      </c>
      <c r="Q3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33">
        <f>IF(event_tree[[#This Row],[fire_location]]="Apartment",Inputs!$F$11,Inputs!$F$12)</f>
        <v>60</v>
      </c>
      <c r="S33">
        <f>10+Inputs!$F$8</f>
        <v>16</v>
      </c>
      <c r="T3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33">
        <f>IF(event_tree[[#This Row],[fire_location]]="Apartment",Inputs!$F$12,Inputs!$F$11)</f>
        <v>600</v>
      </c>
      <c r="V33">
        <f>10+Inputs!$F$8</f>
        <v>16</v>
      </c>
      <c r="W33">
        <f>30</f>
        <v>30</v>
      </c>
      <c r="X33" t="str">
        <f>IF(event_tree[[#This Row],[ASET_scenario]]="X","extinguish",
   event_tree[[#This Row],[SOU_tdet]] + event_tree[[#This Row],[SOU_tpre]] + event_tree[[#This Row],[tnot]])</f>
        <v>extinguish</v>
      </c>
      <c r="Y33" t="str">
        <f>IF(event_tree[[#This Row],[ASET_scenario]]="X","extinguish",
   event_tree[[#This Row],[SOU_inside_RSET]] + event_tree[[#This Row],[SOU_ttrav]])</f>
        <v>extinguish</v>
      </c>
      <c r="Z3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33" t="str">
        <f>IF(event_tree[[#This Row],[ASET_scenario]]="X","extinguish", event_tree[[#This Row],[apt_ASET]]/event_tree[[#This Row],[SOU_inside_RSET]])</f>
        <v>extinguish</v>
      </c>
      <c r="AB33" t="str">
        <f>IF(event_tree[[#This Row],[ASET_scenario]]="X","extinguish",event_tree[[#This Row],[cor_ASET]]/event_tree[[#This Row],[SOU_outside_RSET]])</f>
        <v>extinguish</v>
      </c>
      <c r="AC33" t="str">
        <f>IF(event_tree[[#This Row],[ASET_scenario]]="X","extinguish",event_tree[[#This Row],[cor_ASET]]/event_tree[[#This Row],[remote_RSET]])</f>
        <v>extinguish</v>
      </c>
      <c r="AD33" t="b">
        <f>IF(OR(event_tree[[#This Row],[SOU_inside_ratio]]&lt;1,event_tree[[#This Row],[SOU_outside_ratio]]&lt;1),2)</f>
        <v>0</v>
      </c>
      <c r="AE33" t="b">
        <f>IF(event_tree[[#This Row],[remote_ratio]]&lt;1,2*(Inputs!$F$5-1))</f>
        <v>0</v>
      </c>
      <c r="AF33">
        <f>event_tree[[#This Row],[SOU_casualty]]+event_tree[[#This Row],[remote_casualty]]</f>
        <v>0</v>
      </c>
      <c r="AG33">
        <f>event_tree[[#This Row],[fire_frequency]]*event_tree[[#This Row],[probability_of_scenario]]</f>
        <v>1.9661282550000002E-5</v>
      </c>
      <c r="AH33">
        <f>event_tree[[#This Row],[total_casualty]]*event_tree[[#This Row],[fire_probability]]</f>
        <v>0</v>
      </c>
    </row>
    <row r="34" spans="1:34" x14ac:dyDescent="0.25">
      <c r="A34">
        <v>33</v>
      </c>
      <c r="B34" t="str" cm="1">
        <f t="array" ref="B3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4" t="str" cm="1">
        <f t="array" ref="C3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4" t="str" cm="1">
        <f t="array" ref="D3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4" t="str" cm="1">
        <f t="array" ref="E34">INDEX(sprinkler[sprinkler],
  1+MOD(QUOTIENT(ROW()-ROW($B$2),
     ROWS(manual_suppression[manual_suppression])*
     ROWS(door_open[door_open])*
     ROWS(smoke_seal[smoke_seal])
  ),
  ROWS(sprinkler[sprinkler]))
)</f>
        <v>Control</v>
      </c>
      <c r="F34" t="str" cm="1">
        <f t="array" ref="F34">INDEX(manual_suppression[manual_suppression],
  1+MOD(QUOTIENT(ROW()-ROW($B$2),
     ROWS(door_open[door_open])*
     ROWS(smoke_seal[smoke_seal])
  ),
  ROWS(manual_suppression[manual_suppression]))
)</f>
        <v>Fail</v>
      </c>
      <c r="G34" t="str" cm="1">
        <f t="array" ref="G34">INDEX(door_open[door_open],
  1+MOD(QUOTIENT(ROW()-ROW($B$2),
     ROWS(smoke_seal[smoke_seal])
  ),
  ROWS(door_open[door_open]))
)</f>
        <v>Open</v>
      </c>
      <c r="H34" t="str" cm="1">
        <f t="array" ref="H34">INDEX(smoke_seal[smoke_seal],
  1+MOD(ROW()-ROW($B$2), ROWS(smoke_seal[smoke_seal]))
)</f>
        <v>Fail</v>
      </c>
      <c r="I34" t="str">
        <f>IF(event_tree[[#This Row],[door_open]]="Open","Open",IF(event_tree[[#This Row],[smoke_seal]]="Success","Close","Part"))</f>
        <v>Open</v>
      </c>
      <c r="J34">
        <f>IF(B34="apartment",Inputs!$I$7,Inputs!$I$6)</f>
        <v>7.7999999999999996E-3</v>
      </c>
      <c r="K34">
        <f>PRODUCT(
  INDEX(fire_location[Probability],MATCH($B34,fire_location[fire_location],0)),
  INDEX(smoke_detection_apt[Probability],MATCH($C34,smoke_detection_apt[smoke_detection_apt],0)),
  INDEX(smoke_detection_corridor[Probability],MATCH($D34,smoke_detection_corridor[smoke_detection_corridor],0)),
  INDEX(sprinkler[Probability],MATCH($E34,sprinkler[sprinkler],0)),
  INDEX(manual_suppression[Probability],MATCH($F34,manual_suppression[manual_suppression],0)),
  INDEX(door_open[Probability],MATCH($G34,door_open[door_open],0)),
  INDEX(smoke_seal[Probability],MATCH($H34,smoke_seal[smoke_seal],0))
)</f>
        <v>1.3155250499999995E-3</v>
      </c>
      <c r="L3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D</v>
      </c>
      <c r="M34" t="str">
        <f>event_tree[[#This Row],[ASET_scenario]]&amp;Inputs!$F$8</f>
        <v>D6</v>
      </c>
      <c r="N34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34">
        <f>IF(OR(event_tree[[#This Row],[sprinkler]]="Extinguish",event_tree[[#This Row],[manual_suppression]]="Suppress"),"extinguish",_xlfn.XLOOKUP(event_tree[[#This Row],[ASET_helper1]],ASET_data[ASET_helper1],ASET_data[cor_ASET]))</f>
        <v>95</v>
      </c>
      <c r="P34" t="str">
        <f>event_tree[[#This Row],[fire_location]]&amp;Inputs!$F$8</f>
        <v>Apartment6</v>
      </c>
      <c r="Q3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34">
        <f>IF(event_tree[[#This Row],[fire_location]]="Apartment",Inputs!$F$11,Inputs!$F$12)</f>
        <v>60</v>
      </c>
      <c r="S34">
        <f>10+Inputs!$F$8</f>
        <v>16</v>
      </c>
      <c r="T3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34">
        <f>IF(event_tree[[#This Row],[fire_location]]="Apartment",Inputs!$F$12,Inputs!$F$11)</f>
        <v>600</v>
      </c>
      <c r="V34">
        <f>10+Inputs!$F$8</f>
        <v>16</v>
      </c>
      <c r="W34">
        <f>30</f>
        <v>30</v>
      </c>
      <c r="X34">
        <f>IF(event_tree[[#This Row],[ASET_scenario]]="X","extinguish",
   event_tree[[#This Row],[SOU_tdet]] + event_tree[[#This Row],[SOU_tpre]] + event_tree[[#This Row],[tnot]])</f>
        <v>127</v>
      </c>
      <c r="Y34">
        <f>IF(event_tree[[#This Row],[ASET_scenario]]="X","extinguish",
   event_tree[[#This Row],[SOU_inside_RSET]] + event_tree[[#This Row],[SOU_ttrav]])</f>
        <v>143</v>
      </c>
      <c r="Z34">
        <f>IF(event_tree[[#This Row],[ASET_scenario]]="X","extinguish",
   event_tree[[#This Row],[remote_tdet]] + event_tree[[#This Row],[remote_tpre]] + event_tree[[#This Row],[remote_ttrav]] + event_tree[[#This Row],[tnot]])</f>
        <v>983</v>
      </c>
      <c r="AA34">
        <f>IF(event_tree[[#This Row],[ASET_scenario]]="X","extinguish", event_tree[[#This Row],[apt_ASET]]/event_tree[[#This Row],[SOU_inside_RSET]])</f>
        <v>0.49606299212598426</v>
      </c>
      <c r="AB34">
        <f>IF(event_tree[[#This Row],[ASET_scenario]]="X","extinguish",event_tree[[#This Row],[cor_ASET]]/event_tree[[#This Row],[SOU_outside_RSET]])</f>
        <v>0.66433566433566438</v>
      </c>
      <c r="AC34">
        <f>IF(event_tree[[#This Row],[ASET_scenario]]="X","extinguish",event_tree[[#This Row],[cor_ASET]]/event_tree[[#This Row],[remote_RSET]])</f>
        <v>9.6642929806714142E-2</v>
      </c>
      <c r="AD34">
        <f>IF(OR(event_tree[[#This Row],[SOU_inside_ratio]]&lt;1,event_tree[[#This Row],[SOU_outside_ratio]]&lt;1),2)</f>
        <v>2</v>
      </c>
      <c r="AE34">
        <f>IF(event_tree[[#This Row],[remote_ratio]]&lt;1,2*(Inputs!$F$5-1))</f>
        <v>10</v>
      </c>
      <c r="AF34">
        <f>event_tree[[#This Row],[SOU_casualty]]+event_tree[[#This Row],[remote_casualty]]</f>
        <v>12</v>
      </c>
      <c r="AG34">
        <f>event_tree[[#This Row],[fire_frequency]]*event_tree[[#This Row],[probability_of_scenario]]</f>
        <v>1.0261095389999995E-5</v>
      </c>
      <c r="AH34">
        <f>event_tree[[#This Row],[total_casualty]]*event_tree[[#This Row],[fire_probability]]</f>
        <v>1.2313314467999996E-4</v>
      </c>
    </row>
    <row r="35" spans="1:34" x14ac:dyDescent="0.25">
      <c r="A35">
        <v>34</v>
      </c>
      <c r="B35" t="str" cm="1">
        <f t="array" ref="B3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5" t="str" cm="1">
        <f t="array" ref="C3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5" t="str" cm="1">
        <f t="array" ref="D3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5" t="str" cm="1">
        <f t="array" ref="E35">INDEX(sprinkler[sprinkler],
  1+MOD(QUOTIENT(ROW()-ROW($B$2),
     ROWS(manual_suppression[manual_suppression])*
     ROWS(door_open[door_open])*
     ROWS(smoke_seal[smoke_seal])
  ),
  ROWS(sprinkler[sprinkler]))
)</f>
        <v>Control</v>
      </c>
      <c r="F35" t="str" cm="1">
        <f t="array" ref="F35">INDEX(manual_suppression[manual_suppression],
  1+MOD(QUOTIENT(ROW()-ROW($B$2),
     ROWS(door_open[door_open])*
     ROWS(smoke_seal[smoke_seal])
  ),
  ROWS(manual_suppression[manual_suppression]))
)</f>
        <v>Fail</v>
      </c>
      <c r="G35" t="str" cm="1">
        <f t="array" ref="G35">INDEX(door_open[door_open],
  1+MOD(QUOTIENT(ROW()-ROW($B$2),
     ROWS(smoke_seal[smoke_seal])
  ),
  ROWS(door_open[door_open]))
)</f>
        <v>Open</v>
      </c>
      <c r="H35" t="str" cm="1">
        <f t="array" ref="H35">INDEX(smoke_seal[smoke_seal],
  1+MOD(ROW()-ROW($B$2), ROWS(smoke_seal[smoke_seal]))
)</f>
        <v>Success</v>
      </c>
      <c r="I35" t="str">
        <f>IF(event_tree[[#This Row],[door_open]]="Open","Open",IF(event_tree[[#This Row],[smoke_seal]]="Success","Close","Part"))</f>
        <v>Open</v>
      </c>
      <c r="J35">
        <f>IF(B35="apartment",Inputs!$I$7,Inputs!$I$6)</f>
        <v>7.7999999999999996E-3</v>
      </c>
      <c r="K35">
        <f>PRODUCT(
  INDEX(fire_location[Probability],MATCH($B35,fire_location[fire_location],0)),
  INDEX(smoke_detection_apt[Probability],MATCH($C35,smoke_detection_apt[smoke_detection_apt],0)),
  INDEX(smoke_detection_corridor[Probability],MATCH($D35,smoke_detection_corridor[smoke_detection_corridor],0)),
  INDEX(sprinkler[Probability],MATCH($E35,sprinkler[sprinkler],0)),
  INDEX(manual_suppression[Probability],MATCH($F35,manual_suppression[manual_suppression],0)),
  INDEX(door_open[Probability],MATCH($G35,door_open[door_open],0)),
  INDEX(smoke_seal[Probability],MATCH($H35,smoke_seal[smoke_seal],0))
)</f>
        <v>2.4431179499999995E-3</v>
      </c>
      <c r="L3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D</v>
      </c>
      <c r="M35" t="str">
        <f>event_tree[[#This Row],[ASET_scenario]]&amp;Inputs!$F$8</f>
        <v>D6</v>
      </c>
      <c r="N35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35">
        <f>IF(OR(event_tree[[#This Row],[sprinkler]]="Extinguish",event_tree[[#This Row],[manual_suppression]]="Suppress"),"extinguish",_xlfn.XLOOKUP(event_tree[[#This Row],[ASET_helper1]],ASET_data[ASET_helper1],ASET_data[cor_ASET]))</f>
        <v>95</v>
      </c>
      <c r="P35" t="str">
        <f>event_tree[[#This Row],[fire_location]]&amp;Inputs!$F$8</f>
        <v>Apartment6</v>
      </c>
      <c r="Q3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35">
        <f>IF(event_tree[[#This Row],[fire_location]]="Apartment",Inputs!$F$11,Inputs!$F$12)</f>
        <v>60</v>
      </c>
      <c r="S35">
        <f>10+Inputs!$F$8</f>
        <v>16</v>
      </c>
      <c r="T3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35">
        <f>IF(event_tree[[#This Row],[fire_location]]="Apartment",Inputs!$F$12,Inputs!$F$11)</f>
        <v>600</v>
      </c>
      <c r="V35">
        <f>10+Inputs!$F$8</f>
        <v>16</v>
      </c>
      <c r="W35">
        <f>30</f>
        <v>30</v>
      </c>
      <c r="X35">
        <f>IF(event_tree[[#This Row],[ASET_scenario]]="X","extinguish",
   event_tree[[#This Row],[SOU_tdet]] + event_tree[[#This Row],[SOU_tpre]] + event_tree[[#This Row],[tnot]])</f>
        <v>127</v>
      </c>
      <c r="Y35">
        <f>IF(event_tree[[#This Row],[ASET_scenario]]="X","extinguish",
   event_tree[[#This Row],[SOU_inside_RSET]] + event_tree[[#This Row],[SOU_ttrav]])</f>
        <v>143</v>
      </c>
      <c r="Z35">
        <f>IF(event_tree[[#This Row],[ASET_scenario]]="X","extinguish",
   event_tree[[#This Row],[remote_tdet]] + event_tree[[#This Row],[remote_tpre]] + event_tree[[#This Row],[remote_ttrav]] + event_tree[[#This Row],[tnot]])</f>
        <v>983</v>
      </c>
      <c r="AA35">
        <f>IF(event_tree[[#This Row],[ASET_scenario]]="X","extinguish", event_tree[[#This Row],[apt_ASET]]/event_tree[[#This Row],[SOU_inside_RSET]])</f>
        <v>0.49606299212598426</v>
      </c>
      <c r="AB35">
        <f>IF(event_tree[[#This Row],[ASET_scenario]]="X","extinguish",event_tree[[#This Row],[cor_ASET]]/event_tree[[#This Row],[SOU_outside_RSET]])</f>
        <v>0.66433566433566438</v>
      </c>
      <c r="AC35">
        <f>IF(event_tree[[#This Row],[ASET_scenario]]="X","extinguish",event_tree[[#This Row],[cor_ASET]]/event_tree[[#This Row],[remote_RSET]])</f>
        <v>9.6642929806714142E-2</v>
      </c>
      <c r="AD35">
        <f>IF(OR(event_tree[[#This Row],[SOU_inside_ratio]]&lt;1,event_tree[[#This Row],[SOU_outside_ratio]]&lt;1),2)</f>
        <v>2</v>
      </c>
      <c r="AE35">
        <f>IF(event_tree[[#This Row],[remote_ratio]]&lt;1,2*(Inputs!$F$5-1))</f>
        <v>10</v>
      </c>
      <c r="AF35">
        <f>event_tree[[#This Row],[SOU_casualty]]+event_tree[[#This Row],[remote_casualty]]</f>
        <v>12</v>
      </c>
      <c r="AG35">
        <f>event_tree[[#This Row],[fire_frequency]]*event_tree[[#This Row],[probability_of_scenario]]</f>
        <v>1.9056320009999997E-5</v>
      </c>
      <c r="AH35">
        <f>event_tree[[#This Row],[total_casualty]]*event_tree[[#This Row],[fire_probability]]</f>
        <v>2.2867584011999995E-4</v>
      </c>
    </row>
    <row r="36" spans="1:34" x14ac:dyDescent="0.25">
      <c r="A36">
        <v>35</v>
      </c>
      <c r="B36" t="str" cm="1">
        <f t="array" ref="B3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6" t="str" cm="1">
        <f t="array" ref="C3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6" t="str" cm="1">
        <f t="array" ref="D3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6" t="str" cm="1">
        <f t="array" ref="E36">INDEX(sprinkler[sprinkler],
  1+MOD(QUOTIENT(ROW()-ROW($B$2),
     ROWS(manual_suppression[manual_suppression])*
     ROWS(door_open[door_open])*
     ROWS(smoke_seal[smoke_seal])
  ),
  ROWS(sprinkler[sprinkler]))
)</f>
        <v>Control</v>
      </c>
      <c r="F36" t="str" cm="1">
        <f t="array" ref="F36">INDEX(manual_suppression[manual_suppression],
  1+MOD(QUOTIENT(ROW()-ROW($B$2),
     ROWS(door_open[door_open])*
     ROWS(smoke_seal[smoke_seal])
  ),
  ROWS(manual_suppression[manual_suppression]))
)</f>
        <v>Fail</v>
      </c>
      <c r="G36" t="str" cm="1">
        <f t="array" ref="G36">INDEX(door_open[door_open],
  1+MOD(QUOTIENT(ROW()-ROW($B$2),
     ROWS(smoke_seal[smoke_seal])
  ),
  ROWS(door_open[door_open]))
)</f>
        <v>Closed</v>
      </c>
      <c r="H36" t="str" cm="1">
        <f t="array" ref="H36">INDEX(smoke_seal[smoke_seal],
  1+MOD(ROW()-ROW($B$2), ROWS(smoke_seal[smoke_seal]))
)</f>
        <v>Fail</v>
      </c>
      <c r="I36" t="str">
        <f>IF(event_tree[[#This Row],[door_open]]="Open","Open",IF(event_tree[[#This Row],[smoke_seal]]="Success","Close","Part"))</f>
        <v>Part</v>
      </c>
      <c r="J36">
        <f>IF(B36="apartment",Inputs!$I$7,Inputs!$I$6)</f>
        <v>7.7999999999999996E-3</v>
      </c>
      <c r="K36">
        <f>PRODUCT(
  INDEX(fire_location[Probability],MATCH($B36,fire_location[fire_location],0)),
  INDEX(smoke_detection_apt[Probability],MATCH($C36,smoke_detection_apt[smoke_detection_apt],0)),
  INDEX(smoke_detection_corridor[Probability],MATCH($D36,smoke_detection_corridor[smoke_detection_corridor],0)),
  INDEX(sprinkler[Probability],MATCH($E36,sprinkler[sprinkler],0)),
  INDEX(manual_suppression[Probability],MATCH($F36,manual_suppression[manual_suppression],0)),
  INDEX(door_open[Probability],MATCH($G36,door_open[door_open],0)),
  INDEX(smoke_seal[Probability],MATCH($H36,smoke_seal[smoke_seal],0))
)</f>
        <v>3.0695584499999986E-3</v>
      </c>
      <c r="L3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F</v>
      </c>
      <c r="M36" t="str">
        <f>event_tree[[#This Row],[ASET_scenario]]&amp;Inputs!$F$8</f>
        <v>F6</v>
      </c>
      <c r="N36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36">
        <f>IF(OR(event_tree[[#This Row],[sprinkler]]="Extinguish",event_tree[[#This Row],[manual_suppression]]="Suppress"),"extinguish",_xlfn.XLOOKUP(event_tree[[#This Row],[ASET_helper1]],ASET_data[ASET_helper1],ASET_data[cor_ASET]))</f>
        <v>125</v>
      </c>
      <c r="P36" t="str">
        <f>event_tree[[#This Row],[fire_location]]&amp;Inputs!$F$8</f>
        <v>Apartment6</v>
      </c>
      <c r="Q3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36">
        <f>IF(event_tree[[#This Row],[fire_location]]="Apartment",Inputs!$F$11,Inputs!$F$12)</f>
        <v>60</v>
      </c>
      <c r="S36">
        <f>10+Inputs!$F$8</f>
        <v>16</v>
      </c>
      <c r="T3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36">
        <f>IF(event_tree[[#This Row],[fire_location]]="Apartment",Inputs!$F$12,Inputs!$F$11)</f>
        <v>600</v>
      </c>
      <c r="V36">
        <f>10+Inputs!$F$8</f>
        <v>16</v>
      </c>
      <c r="W36">
        <f>30</f>
        <v>30</v>
      </c>
      <c r="X36">
        <f>IF(event_tree[[#This Row],[ASET_scenario]]="X","extinguish",
   event_tree[[#This Row],[SOU_tdet]] + event_tree[[#This Row],[SOU_tpre]] + event_tree[[#This Row],[tnot]])</f>
        <v>127</v>
      </c>
      <c r="Y36">
        <f>IF(event_tree[[#This Row],[ASET_scenario]]="X","extinguish",
   event_tree[[#This Row],[SOU_inside_RSET]] + event_tree[[#This Row],[SOU_ttrav]])</f>
        <v>143</v>
      </c>
      <c r="Z36">
        <f>IF(event_tree[[#This Row],[ASET_scenario]]="X","extinguish",
   event_tree[[#This Row],[remote_tdet]] + event_tree[[#This Row],[remote_tpre]] + event_tree[[#This Row],[remote_ttrav]] + event_tree[[#This Row],[tnot]])</f>
        <v>983</v>
      </c>
      <c r="AA36">
        <f>IF(event_tree[[#This Row],[ASET_scenario]]="X","extinguish", event_tree[[#This Row],[apt_ASET]]/event_tree[[#This Row],[SOU_inside_RSET]])</f>
        <v>0.49606299212598426</v>
      </c>
      <c r="AB36">
        <f>IF(event_tree[[#This Row],[ASET_scenario]]="X","extinguish",event_tree[[#This Row],[cor_ASET]]/event_tree[[#This Row],[SOU_outside_RSET]])</f>
        <v>0.87412587412587417</v>
      </c>
      <c r="AC36">
        <f>IF(event_tree[[#This Row],[ASET_scenario]]="X","extinguish",event_tree[[#This Row],[cor_ASET]]/event_tree[[#This Row],[remote_RSET]])</f>
        <v>0.12716174974567651</v>
      </c>
      <c r="AD36">
        <f>IF(OR(event_tree[[#This Row],[SOU_inside_ratio]]&lt;1,event_tree[[#This Row],[SOU_outside_ratio]]&lt;1),2)</f>
        <v>2</v>
      </c>
      <c r="AE36">
        <f>IF(event_tree[[#This Row],[remote_ratio]]&lt;1,2*(Inputs!$F$5-1))</f>
        <v>10</v>
      </c>
      <c r="AF36">
        <f>event_tree[[#This Row],[SOU_casualty]]+event_tree[[#This Row],[remote_casualty]]</f>
        <v>12</v>
      </c>
      <c r="AG36">
        <f>event_tree[[#This Row],[fire_frequency]]*event_tree[[#This Row],[probability_of_scenario]]</f>
        <v>2.3942555909999988E-5</v>
      </c>
      <c r="AH36">
        <f>event_tree[[#This Row],[total_casualty]]*event_tree[[#This Row],[fire_probability]]</f>
        <v>2.8731067091999983E-4</v>
      </c>
    </row>
    <row r="37" spans="1:34" x14ac:dyDescent="0.25">
      <c r="A37">
        <v>36</v>
      </c>
      <c r="B37" t="str" cm="1">
        <f t="array" ref="B3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7" t="str" cm="1">
        <f t="array" ref="C3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7" t="str" cm="1">
        <f t="array" ref="D3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7" t="str" cm="1">
        <f t="array" ref="E37">INDEX(sprinkler[sprinkler],
  1+MOD(QUOTIENT(ROW()-ROW($B$2),
     ROWS(manual_suppression[manual_suppression])*
     ROWS(door_open[door_open])*
     ROWS(smoke_seal[smoke_seal])
  ),
  ROWS(sprinkler[sprinkler]))
)</f>
        <v>Control</v>
      </c>
      <c r="F37" t="str" cm="1">
        <f t="array" ref="F37">INDEX(manual_suppression[manual_suppression],
  1+MOD(QUOTIENT(ROW()-ROW($B$2),
     ROWS(door_open[door_open])*
     ROWS(smoke_seal[smoke_seal])
  ),
  ROWS(manual_suppression[manual_suppression]))
)</f>
        <v>Fail</v>
      </c>
      <c r="G37" t="str" cm="1">
        <f t="array" ref="G37">INDEX(door_open[door_open],
  1+MOD(QUOTIENT(ROW()-ROW($B$2),
     ROWS(smoke_seal[smoke_seal])
  ),
  ROWS(door_open[door_open]))
)</f>
        <v>Closed</v>
      </c>
      <c r="H37" t="str" cm="1">
        <f t="array" ref="H37">INDEX(smoke_seal[smoke_seal],
  1+MOD(ROW()-ROW($B$2), ROWS(smoke_seal[smoke_seal]))
)</f>
        <v>Success</v>
      </c>
      <c r="I37" t="str">
        <f>IF(event_tree[[#This Row],[door_open]]="Open","Open",IF(event_tree[[#This Row],[smoke_seal]]="Success","Close","Part"))</f>
        <v>Close</v>
      </c>
      <c r="J37">
        <f>IF(B37="apartment",Inputs!$I$7,Inputs!$I$6)</f>
        <v>7.7999999999999996E-3</v>
      </c>
      <c r="K37">
        <f>PRODUCT(
  INDEX(fire_location[Probability],MATCH($B37,fire_location[fire_location],0)),
  INDEX(smoke_detection_apt[Probability],MATCH($C37,smoke_detection_apt[smoke_detection_apt],0)),
  INDEX(smoke_detection_corridor[Probability],MATCH($D37,smoke_detection_corridor[smoke_detection_corridor],0)),
  INDEX(sprinkler[Probability],MATCH($E37,sprinkler[sprinkler],0)),
  INDEX(manual_suppression[Probability],MATCH($F37,manual_suppression[manual_suppression],0)),
  INDEX(door_open[Probability],MATCH($G37,door_open[door_open],0)),
  INDEX(smoke_seal[Probability],MATCH($H37,smoke_seal[smoke_seal],0))
)</f>
        <v>5.700608549999998E-3</v>
      </c>
      <c r="L3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E</v>
      </c>
      <c r="M37" t="str">
        <f>event_tree[[#This Row],[ASET_scenario]]&amp;Inputs!$F$8</f>
        <v>E6</v>
      </c>
      <c r="N37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37">
        <f>IF(OR(event_tree[[#This Row],[sprinkler]]="Extinguish",event_tree[[#This Row],[manual_suppression]]="Suppress"),"extinguish",_xlfn.XLOOKUP(event_tree[[#This Row],[ASET_helper1]],ASET_data[ASET_helper1],ASET_data[cor_ASET]))</f>
        <v>3600</v>
      </c>
      <c r="P37" t="str">
        <f>event_tree[[#This Row],[fire_location]]&amp;Inputs!$F$8</f>
        <v>Apartment6</v>
      </c>
      <c r="Q3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37</v>
      </c>
      <c r="R37">
        <f>IF(event_tree[[#This Row],[fire_location]]="Apartment",Inputs!$F$11,Inputs!$F$12)</f>
        <v>60</v>
      </c>
      <c r="S37">
        <f>10+Inputs!$F$8</f>
        <v>16</v>
      </c>
      <c r="T3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37">
        <f>IF(event_tree[[#This Row],[fire_location]]="Apartment",Inputs!$F$12,Inputs!$F$11)</f>
        <v>600</v>
      </c>
      <c r="V37">
        <f>10+Inputs!$F$8</f>
        <v>16</v>
      </c>
      <c r="W37">
        <f>30</f>
        <v>30</v>
      </c>
      <c r="X37">
        <f>IF(event_tree[[#This Row],[ASET_scenario]]="X","extinguish",
   event_tree[[#This Row],[SOU_tdet]] + event_tree[[#This Row],[SOU_tpre]] + event_tree[[#This Row],[tnot]])</f>
        <v>127</v>
      </c>
      <c r="Y37">
        <f>IF(event_tree[[#This Row],[ASET_scenario]]="X","extinguish",
   event_tree[[#This Row],[SOU_inside_RSET]] + event_tree[[#This Row],[SOU_ttrav]])</f>
        <v>143</v>
      </c>
      <c r="Z37">
        <f>IF(event_tree[[#This Row],[ASET_scenario]]="X","extinguish",
   event_tree[[#This Row],[remote_tdet]] + event_tree[[#This Row],[remote_tpre]] + event_tree[[#This Row],[remote_ttrav]] + event_tree[[#This Row],[tnot]])</f>
        <v>983</v>
      </c>
      <c r="AA37">
        <f>IF(event_tree[[#This Row],[ASET_scenario]]="X","extinguish", event_tree[[#This Row],[apt_ASET]]/event_tree[[#This Row],[SOU_inside_RSET]])</f>
        <v>0.49606299212598426</v>
      </c>
      <c r="AB37">
        <f>IF(event_tree[[#This Row],[ASET_scenario]]="X","extinguish",event_tree[[#This Row],[cor_ASET]]/event_tree[[#This Row],[SOU_outside_RSET]])</f>
        <v>25.174825174825173</v>
      </c>
      <c r="AC37">
        <f>IF(event_tree[[#This Row],[ASET_scenario]]="X","extinguish",event_tree[[#This Row],[cor_ASET]]/event_tree[[#This Row],[remote_RSET]])</f>
        <v>3.6622583926754833</v>
      </c>
      <c r="AD37">
        <f>IF(OR(event_tree[[#This Row],[SOU_inside_ratio]]&lt;1,event_tree[[#This Row],[SOU_outside_ratio]]&lt;1),2)</f>
        <v>2</v>
      </c>
      <c r="AE37" t="b">
        <f>IF(event_tree[[#This Row],[remote_ratio]]&lt;1,2*(Inputs!$F$5-1))</f>
        <v>0</v>
      </c>
      <c r="AF37">
        <f>event_tree[[#This Row],[SOU_casualty]]+event_tree[[#This Row],[remote_casualty]]</f>
        <v>2</v>
      </c>
      <c r="AG37">
        <f>event_tree[[#This Row],[fire_frequency]]*event_tree[[#This Row],[probability_of_scenario]]</f>
        <v>4.4464746689999985E-5</v>
      </c>
      <c r="AH37">
        <f>event_tree[[#This Row],[total_casualty]]*event_tree[[#This Row],[fire_probability]]</f>
        <v>8.892949337999997E-5</v>
      </c>
    </row>
    <row r="38" spans="1:34" x14ac:dyDescent="0.25">
      <c r="A38">
        <v>37</v>
      </c>
      <c r="B38" t="str" cm="1">
        <f t="array" ref="B3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8" t="str" cm="1">
        <f t="array" ref="C3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8" t="str" cm="1">
        <f t="array" ref="D3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8" t="str" cm="1">
        <f t="array" ref="E38">INDEX(sprinkler[sprinkler],
  1+MOD(QUOTIENT(ROW()-ROW($B$2),
     ROWS(manual_suppression[manual_suppression])*
     ROWS(door_open[door_open])*
     ROWS(smoke_seal[smoke_seal])
  ),
  ROWS(sprinkler[sprinkler]))
)</f>
        <v>Control</v>
      </c>
      <c r="F38" t="str" cm="1">
        <f t="array" ref="F38">INDEX(manual_suppression[manual_suppression],
  1+MOD(QUOTIENT(ROW()-ROW($B$2),
     ROWS(door_open[door_open])*
     ROWS(smoke_seal[smoke_seal])
  ),
  ROWS(manual_suppression[manual_suppression]))
)</f>
        <v>Suppress</v>
      </c>
      <c r="G38" t="str" cm="1">
        <f t="array" ref="G38">INDEX(door_open[door_open],
  1+MOD(QUOTIENT(ROW()-ROW($B$2),
     ROWS(smoke_seal[smoke_seal])
  ),
  ROWS(door_open[door_open]))
)</f>
        <v>Open</v>
      </c>
      <c r="H38" t="str" cm="1">
        <f t="array" ref="H38">INDEX(smoke_seal[smoke_seal],
  1+MOD(ROW()-ROW($B$2), ROWS(smoke_seal[smoke_seal]))
)</f>
        <v>Fail</v>
      </c>
      <c r="I38" t="str">
        <f>IF(event_tree[[#This Row],[door_open]]="Open","Open",IF(event_tree[[#This Row],[smoke_seal]]="Success","Close","Part"))</f>
        <v>Open</v>
      </c>
      <c r="J38">
        <f>IF(B38="apartment",Inputs!$I$7,Inputs!$I$6)</f>
        <v>7.7999999999999996E-3</v>
      </c>
      <c r="K38">
        <f>PRODUCT(
  INDEX(fire_location[Probability],MATCH($B38,fire_location[fire_location],0)),
  INDEX(smoke_detection_apt[Probability],MATCH($C38,smoke_detection_apt[smoke_detection_apt],0)),
  INDEX(smoke_detection_corridor[Probability],MATCH($D38,smoke_detection_corridor[smoke_detection_corridor],0)),
  INDEX(sprinkler[Probability],MATCH($E38,sprinkler[sprinkler],0)),
  INDEX(manual_suppression[Probability],MATCH($F38,manual_suppression[manual_suppression],0)),
  INDEX(door_open[Probability],MATCH($G38,door_open[door_open],0)),
  INDEX(smoke_seal[Probability],MATCH($H38,smoke_seal[smoke_seal],0))
)</f>
        <v>2.4431179499999995E-3</v>
      </c>
      <c r="L3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38" t="str">
        <f>event_tree[[#This Row],[ASET_scenario]]&amp;Inputs!$F$8</f>
        <v>X6</v>
      </c>
      <c r="N3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3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38" t="str">
        <f>event_tree[[#This Row],[fire_location]]&amp;Inputs!$F$8</f>
        <v>Apartment6</v>
      </c>
      <c r="Q3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38">
        <f>IF(event_tree[[#This Row],[fire_location]]="Apartment",Inputs!$F$11,Inputs!$F$12)</f>
        <v>60</v>
      </c>
      <c r="S38">
        <f>10+Inputs!$F$8</f>
        <v>16</v>
      </c>
      <c r="T3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38">
        <f>IF(event_tree[[#This Row],[fire_location]]="Apartment",Inputs!$F$12,Inputs!$F$11)</f>
        <v>600</v>
      </c>
      <c r="V38">
        <f>10+Inputs!$F$8</f>
        <v>16</v>
      </c>
      <c r="W38">
        <f>30</f>
        <v>30</v>
      </c>
      <c r="X38" t="str">
        <f>IF(event_tree[[#This Row],[ASET_scenario]]="X","extinguish",
   event_tree[[#This Row],[SOU_tdet]] + event_tree[[#This Row],[SOU_tpre]] + event_tree[[#This Row],[tnot]])</f>
        <v>extinguish</v>
      </c>
      <c r="Y38" t="str">
        <f>IF(event_tree[[#This Row],[ASET_scenario]]="X","extinguish",
   event_tree[[#This Row],[SOU_inside_RSET]] + event_tree[[#This Row],[SOU_ttrav]])</f>
        <v>extinguish</v>
      </c>
      <c r="Z3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38" t="str">
        <f>IF(event_tree[[#This Row],[ASET_scenario]]="X","extinguish", event_tree[[#This Row],[apt_ASET]]/event_tree[[#This Row],[SOU_inside_RSET]])</f>
        <v>extinguish</v>
      </c>
      <c r="AB38" t="str">
        <f>IF(event_tree[[#This Row],[ASET_scenario]]="X","extinguish",event_tree[[#This Row],[cor_ASET]]/event_tree[[#This Row],[SOU_outside_RSET]])</f>
        <v>extinguish</v>
      </c>
      <c r="AC38" t="str">
        <f>IF(event_tree[[#This Row],[ASET_scenario]]="X","extinguish",event_tree[[#This Row],[cor_ASET]]/event_tree[[#This Row],[remote_RSET]])</f>
        <v>extinguish</v>
      </c>
      <c r="AD38" t="b">
        <f>IF(OR(event_tree[[#This Row],[SOU_inside_ratio]]&lt;1,event_tree[[#This Row],[SOU_outside_ratio]]&lt;1),2)</f>
        <v>0</v>
      </c>
      <c r="AE38" t="b">
        <f>IF(event_tree[[#This Row],[remote_ratio]]&lt;1,2*(Inputs!$F$5-1))</f>
        <v>0</v>
      </c>
      <c r="AF38">
        <f>event_tree[[#This Row],[SOU_casualty]]+event_tree[[#This Row],[remote_casualty]]</f>
        <v>0</v>
      </c>
      <c r="AG38">
        <f>event_tree[[#This Row],[fire_frequency]]*event_tree[[#This Row],[probability_of_scenario]]</f>
        <v>1.9056320009999997E-5</v>
      </c>
      <c r="AH38">
        <f>event_tree[[#This Row],[total_casualty]]*event_tree[[#This Row],[fire_probability]]</f>
        <v>0</v>
      </c>
    </row>
    <row r="39" spans="1:34" x14ac:dyDescent="0.25">
      <c r="A39">
        <v>38</v>
      </c>
      <c r="B39" t="str" cm="1">
        <f t="array" ref="B3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39" t="str" cm="1">
        <f t="array" ref="C3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39" t="str" cm="1">
        <f t="array" ref="D3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39" t="str" cm="1">
        <f t="array" ref="E39">INDEX(sprinkler[sprinkler],
  1+MOD(QUOTIENT(ROW()-ROW($B$2),
     ROWS(manual_suppression[manual_suppression])*
     ROWS(door_open[door_open])*
     ROWS(smoke_seal[smoke_seal])
  ),
  ROWS(sprinkler[sprinkler]))
)</f>
        <v>Control</v>
      </c>
      <c r="F39" t="str" cm="1">
        <f t="array" ref="F39">INDEX(manual_suppression[manual_suppression],
  1+MOD(QUOTIENT(ROW()-ROW($B$2),
     ROWS(door_open[door_open])*
     ROWS(smoke_seal[smoke_seal])
  ),
  ROWS(manual_suppression[manual_suppression]))
)</f>
        <v>Suppress</v>
      </c>
      <c r="G39" t="str" cm="1">
        <f t="array" ref="G39">INDEX(door_open[door_open],
  1+MOD(QUOTIENT(ROW()-ROW($B$2),
     ROWS(smoke_seal[smoke_seal])
  ),
  ROWS(door_open[door_open]))
)</f>
        <v>Open</v>
      </c>
      <c r="H39" t="str" cm="1">
        <f t="array" ref="H39">INDEX(smoke_seal[smoke_seal],
  1+MOD(ROW()-ROW($B$2), ROWS(smoke_seal[smoke_seal]))
)</f>
        <v>Success</v>
      </c>
      <c r="I39" t="str">
        <f>IF(event_tree[[#This Row],[door_open]]="Open","Open",IF(event_tree[[#This Row],[smoke_seal]]="Success","Close","Part"))</f>
        <v>Open</v>
      </c>
      <c r="J39">
        <f>IF(B39="apartment",Inputs!$I$7,Inputs!$I$6)</f>
        <v>7.7999999999999996E-3</v>
      </c>
      <c r="K39">
        <f>PRODUCT(
  INDEX(fire_location[Probability],MATCH($B39,fire_location[fire_location],0)),
  INDEX(smoke_detection_apt[Probability],MATCH($C39,smoke_detection_apt[smoke_detection_apt],0)),
  INDEX(smoke_detection_corridor[Probability],MATCH($D39,smoke_detection_corridor[smoke_detection_corridor],0)),
  INDEX(sprinkler[Probability],MATCH($E39,sprinkler[sprinkler],0)),
  INDEX(manual_suppression[Probability],MATCH($F39,manual_suppression[manual_suppression],0)),
  INDEX(door_open[Probability],MATCH($G39,door_open[door_open],0)),
  INDEX(smoke_seal[Probability],MATCH($H39,smoke_seal[smoke_seal],0))
)</f>
        <v>4.5372190500000001E-3</v>
      </c>
      <c r="L3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39" t="str">
        <f>event_tree[[#This Row],[ASET_scenario]]&amp;Inputs!$F$8</f>
        <v>X6</v>
      </c>
      <c r="N3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3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39" t="str">
        <f>event_tree[[#This Row],[fire_location]]&amp;Inputs!$F$8</f>
        <v>Apartment6</v>
      </c>
      <c r="Q3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39">
        <f>IF(event_tree[[#This Row],[fire_location]]="Apartment",Inputs!$F$11,Inputs!$F$12)</f>
        <v>60</v>
      </c>
      <c r="S39">
        <f>10+Inputs!$F$8</f>
        <v>16</v>
      </c>
      <c r="T3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39">
        <f>IF(event_tree[[#This Row],[fire_location]]="Apartment",Inputs!$F$12,Inputs!$F$11)</f>
        <v>600</v>
      </c>
      <c r="V39">
        <f>10+Inputs!$F$8</f>
        <v>16</v>
      </c>
      <c r="W39">
        <f>30</f>
        <v>30</v>
      </c>
      <c r="X39" t="str">
        <f>IF(event_tree[[#This Row],[ASET_scenario]]="X","extinguish",
   event_tree[[#This Row],[SOU_tdet]] + event_tree[[#This Row],[SOU_tpre]] + event_tree[[#This Row],[tnot]])</f>
        <v>extinguish</v>
      </c>
      <c r="Y39" t="str">
        <f>IF(event_tree[[#This Row],[ASET_scenario]]="X","extinguish",
   event_tree[[#This Row],[SOU_inside_RSET]] + event_tree[[#This Row],[SOU_ttrav]])</f>
        <v>extinguish</v>
      </c>
      <c r="Z3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39" t="str">
        <f>IF(event_tree[[#This Row],[ASET_scenario]]="X","extinguish", event_tree[[#This Row],[apt_ASET]]/event_tree[[#This Row],[SOU_inside_RSET]])</f>
        <v>extinguish</v>
      </c>
      <c r="AB39" t="str">
        <f>IF(event_tree[[#This Row],[ASET_scenario]]="X","extinguish",event_tree[[#This Row],[cor_ASET]]/event_tree[[#This Row],[SOU_outside_RSET]])</f>
        <v>extinguish</v>
      </c>
      <c r="AC39" t="str">
        <f>IF(event_tree[[#This Row],[ASET_scenario]]="X","extinguish",event_tree[[#This Row],[cor_ASET]]/event_tree[[#This Row],[remote_RSET]])</f>
        <v>extinguish</v>
      </c>
      <c r="AD39" t="b">
        <f>IF(OR(event_tree[[#This Row],[SOU_inside_ratio]]&lt;1,event_tree[[#This Row],[SOU_outside_ratio]]&lt;1),2)</f>
        <v>0</v>
      </c>
      <c r="AE39" t="b">
        <f>IF(event_tree[[#This Row],[remote_ratio]]&lt;1,2*(Inputs!$F$5-1))</f>
        <v>0</v>
      </c>
      <c r="AF39">
        <f>event_tree[[#This Row],[SOU_casualty]]+event_tree[[#This Row],[remote_casualty]]</f>
        <v>0</v>
      </c>
      <c r="AG39">
        <f>event_tree[[#This Row],[fire_frequency]]*event_tree[[#This Row],[probability_of_scenario]]</f>
        <v>3.5390308590000001E-5</v>
      </c>
      <c r="AH39">
        <f>event_tree[[#This Row],[total_casualty]]*event_tree[[#This Row],[fire_probability]]</f>
        <v>0</v>
      </c>
    </row>
    <row r="40" spans="1:34" x14ac:dyDescent="0.25">
      <c r="A40">
        <v>39</v>
      </c>
      <c r="B40" t="str" cm="1">
        <f t="array" ref="B4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0" t="str" cm="1">
        <f t="array" ref="C4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0" t="str" cm="1">
        <f t="array" ref="D4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0" t="str" cm="1">
        <f t="array" ref="E40">INDEX(sprinkler[sprinkler],
  1+MOD(QUOTIENT(ROW()-ROW($B$2),
     ROWS(manual_suppression[manual_suppression])*
     ROWS(door_open[door_open])*
     ROWS(smoke_seal[smoke_seal])
  ),
  ROWS(sprinkler[sprinkler]))
)</f>
        <v>Control</v>
      </c>
      <c r="F40" t="str" cm="1">
        <f t="array" ref="F40">INDEX(manual_suppression[manual_suppression],
  1+MOD(QUOTIENT(ROW()-ROW($B$2),
     ROWS(door_open[door_open])*
     ROWS(smoke_seal[smoke_seal])
  ),
  ROWS(manual_suppression[manual_suppression]))
)</f>
        <v>Suppress</v>
      </c>
      <c r="G40" t="str" cm="1">
        <f t="array" ref="G40">INDEX(door_open[door_open],
  1+MOD(QUOTIENT(ROW()-ROW($B$2),
     ROWS(smoke_seal[smoke_seal])
  ),
  ROWS(door_open[door_open]))
)</f>
        <v>Closed</v>
      </c>
      <c r="H40" t="str" cm="1">
        <f t="array" ref="H40">INDEX(smoke_seal[smoke_seal],
  1+MOD(ROW()-ROW($B$2), ROWS(smoke_seal[smoke_seal]))
)</f>
        <v>Fail</v>
      </c>
      <c r="I40" t="str">
        <f>IF(event_tree[[#This Row],[door_open]]="Open","Open",IF(event_tree[[#This Row],[smoke_seal]]="Success","Close","Part"))</f>
        <v>Part</v>
      </c>
      <c r="J40">
        <f>IF(B40="apartment",Inputs!$I$7,Inputs!$I$6)</f>
        <v>7.7999999999999996E-3</v>
      </c>
      <c r="K40">
        <f>PRODUCT(
  INDEX(fire_location[Probability],MATCH($B40,fire_location[fire_location],0)),
  INDEX(smoke_detection_apt[Probability],MATCH($C40,smoke_detection_apt[smoke_detection_apt],0)),
  INDEX(smoke_detection_corridor[Probability],MATCH($D40,smoke_detection_corridor[smoke_detection_corridor],0)),
  INDEX(sprinkler[Probability],MATCH($E40,sprinkler[sprinkler],0)),
  INDEX(manual_suppression[Probability],MATCH($F40,manual_suppression[manual_suppression],0)),
  INDEX(door_open[Probability],MATCH($G40,door_open[door_open],0)),
  INDEX(smoke_seal[Probability],MATCH($H40,smoke_seal[smoke_seal],0))
)</f>
        <v>5.7006085499999998E-3</v>
      </c>
      <c r="L4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0" t="str">
        <f>event_tree[[#This Row],[ASET_scenario]]&amp;Inputs!$F$8</f>
        <v>X6</v>
      </c>
      <c r="N4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0" t="str">
        <f>event_tree[[#This Row],[fire_location]]&amp;Inputs!$F$8</f>
        <v>Apartment6</v>
      </c>
      <c r="Q4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0">
        <f>IF(event_tree[[#This Row],[fire_location]]="Apartment",Inputs!$F$11,Inputs!$F$12)</f>
        <v>60</v>
      </c>
      <c r="S40">
        <f>10+Inputs!$F$8</f>
        <v>16</v>
      </c>
      <c r="T4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0">
        <f>IF(event_tree[[#This Row],[fire_location]]="Apartment",Inputs!$F$12,Inputs!$F$11)</f>
        <v>600</v>
      </c>
      <c r="V40">
        <f>10+Inputs!$F$8</f>
        <v>16</v>
      </c>
      <c r="W40">
        <f>30</f>
        <v>30</v>
      </c>
      <c r="X40" t="str">
        <f>IF(event_tree[[#This Row],[ASET_scenario]]="X","extinguish",
   event_tree[[#This Row],[SOU_tdet]] + event_tree[[#This Row],[SOU_tpre]] + event_tree[[#This Row],[tnot]])</f>
        <v>extinguish</v>
      </c>
      <c r="Y40" t="str">
        <f>IF(event_tree[[#This Row],[ASET_scenario]]="X","extinguish",
   event_tree[[#This Row],[SOU_inside_RSET]] + event_tree[[#This Row],[SOU_ttrav]])</f>
        <v>extinguish</v>
      </c>
      <c r="Z4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0" t="str">
        <f>IF(event_tree[[#This Row],[ASET_scenario]]="X","extinguish", event_tree[[#This Row],[apt_ASET]]/event_tree[[#This Row],[SOU_inside_RSET]])</f>
        <v>extinguish</v>
      </c>
      <c r="AB40" t="str">
        <f>IF(event_tree[[#This Row],[ASET_scenario]]="X","extinguish",event_tree[[#This Row],[cor_ASET]]/event_tree[[#This Row],[SOU_outside_RSET]])</f>
        <v>extinguish</v>
      </c>
      <c r="AC40" t="str">
        <f>IF(event_tree[[#This Row],[ASET_scenario]]="X","extinguish",event_tree[[#This Row],[cor_ASET]]/event_tree[[#This Row],[remote_RSET]])</f>
        <v>extinguish</v>
      </c>
      <c r="AD40" t="b">
        <f>IF(OR(event_tree[[#This Row],[SOU_inside_ratio]]&lt;1,event_tree[[#This Row],[SOU_outside_ratio]]&lt;1),2)</f>
        <v>0</v>
      </c>
      <c r="AE40" t="b">
        <f>IF(event_tree[[#This Row],[remote_ratio]]&lt;1,2*(Inputs!$F$5-1))</f>
        <v>0</v>
      </c>
      <c r="AF40">
        <f>event_tree[[#This Row],[SOU_casualty]]+event_tree[[#This Row],[remote_casualty]]</f>
        <v>0</v>
      </c>
      <c r="AG40">
        <f>event_tree[[#This Row],[fire_frequency]]*event_tree[[#This Row],[probability_of_scenario]]</f>
        <v>4.4464746689999999E-5</v>
      </c>
      <c r="AH40">
        <f>event_tree[[#This Row],[total_casualty]]*event_tree[[#This Row],[fire_probability]]</f>
        <v>0</v>
      </c>
    </row>
    <row r="41" spans="1:34" x14ac:dyDescent="0.25">
      <c r="A41">
        <v>40</v>
      </c>
      <c r="B41" t="str" cm="1">
        <f t="array" ref="B4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1" t="str" cm="1">
        <f t="array" ref="C4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1" t="str" cm="1">
        <f t="array" ref="D4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1" t="str" cm="1">
        <f t="array" ref="E41">INDEX(sprinkler[sprinkler],
  1+MOD(QUOTIENT(ROW()-ROW($B$2),
     ROWS(manual_suppression[manual_suppression])*
     ROWS(door_open[door_open])*
     ROWS(smoke_seal[smoke_seal])
  ),
  ROWS(sprinkler[sprinkler]))
)</f>
        <v>Control</v>
      </c>
      <c r="F41" t="str" cm="1">
        <f t="array" ref="F41">INDEX(manual_suppression[manual_suppression],
  1+MOD(QUOTIENT(ROW()-ROW($B$2),
     ROWS(door_open[door_open])*
     ROWS(smoke_seal[smoke_seal])
  ),
  ROWS(manual_suppression[manual_suppression]))
)</f>
        <v>Suppress</v>
      </c>
      <c r="G41" t="str" cm="1">
        <f t="array" ref="G41">INDEX(door_open[door_open],
  1+MOD(QUOTIENT(ROW()-ROW($B$2),
     ROWS(smoke_seal[smoke_seal])
  ),
  ROWS(door_open[door_open]))
)</f>
        <v>Closed</v>
      </c>
      <c r="H41" t="str" cm="1">
        <f t="array" ref="H41">INDEX(smoke_seal[smoke_seal],
  1+MOD(ROW()-ROW($B$2), ROWS(smoke_seal[smoke_seal]))
)</f>
        <v>Success</v>
      </c>
      <c r="I41" t="str">
        <f>IF(event_tree[[#This Row],[door_open]]="Open","Open",IF(event_tree[[#This Row],[smoke_seal]]="Success","Close","Part"))</f>
        <v>Close</v>
      </c>
      <c r="J41">
        <f>IF(B41="apartment",Inputs!$I$7,Inputs!$I$6)</f>
        <v>7.7999999999999996E-3</v>
      </c>
      <c r="K41">
        <f>PRODUCT(
  INDEX(fire_location[Probability],MATCH($B41,fire_location[fire_location],0)),
  INDEX(smoke_detection_apt[Probability],MATCH($C41,smoke_detection_apt[smoke_detection_apt],0)),
  INDEX(smoke_detection_corridor[Probability],MATCH($D41,smoke_detection_corridor[smoke_detection_corridor],0)),
  INDEX(sprinkler[Probability],MATCH($E41,sprinkler[sprinkler],0)),
  INDEX(manual_suppression[Probability],MATCH($F41,manual_suppression[manual_suppression],0)),
  INDEX(door_open[Probability],MATCH($G41,door_open[door_open],0)),
  INDEX(smoke_seal[Probability],MATCH($H41,smoke_seal[smoke_seal],0))
)</f>
        <v>1.0586844450000001E-2</v>
      </c>
      <c r="L4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1" t="str">
        <f>event_tree[[#This Row],[ASET_scenario]]&amp;Inputs!$F$8</f>
        <v>X6</v>
      </c>
      <c r="N4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1" t="str">
        <f>event_tree[[#This Row],[fire_location]]&amp;Inputs!$F$8</f>
        <v>Apartment6</v>
      </c>
      <c r="Q4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1">
        <f>IF(event_tree[[#This Row],[fire_location]]="Apartment",Inputs!$F$11,Inputs!$F$12)</f>
        <v>60</v>
      </c>
      <c r="S41">
        <f>10+Inputs!$F$8</f>
        <v>16</v>
      </c>
      <c r="T4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1">
        <f>IF(event_tree[[#This Row],[fire_location]]="Apartment",Inputs!$F$12,Inputs!$F$11)</f>
        <v>600</v>
      </c>
      <c r="V41">
        <f>10+Inputs!$F$8</f>
        <v>16</v>
      </c>
      <c r="W41">
        <f>30</f>
        <v>30</v>
      </c>
      <c r="X41" t="str">
        <f>IF(event_tree[[#This Row],[ASET_scenario]]="X","extinguish",
   event_tree[[#This Row],[SOU_tdet]] + event_tree[[#This Row],[SOU_tpre]] + event_tree[[#This Row],[tnot]])</f>
        <v>extinguish</v>
      </c>
      <c r="Y41" t="str">
        <f>IF(event_tree[[#This Row],[ASET_scenario]]="X","extinguish",
   event_tree[[#This Row],[SOU_inside_RSET]] + event_tree[[#This Row],[SOU_ttrav]])</f>
        <v>extinguish</v>
      </c>
      <c r="Z4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1" t="str">
        <f>IF(event_tree[[#This Row],[ASET_scenario]]="X","extinguish", event_tree[[#This Row],[apt_ASET]]/event_tree[[#This Row],[SOU_inside_RSET]])</f>
        <v>extinguish</v>
      </c>
      <c r="AB41" t="str">
        <f>IF(event_tree[[#This Row],[ASET_scenario]]="X","extinguish",event_tree[[#This Row],[cor_ASET]]/event_tree[[#This Row],[SOU_outside_RSET]])</f>
        <v>extinguish</v>
      </c>
      <c r="AC41" t="str">
        <f>IF(event_tree[[#This Row],[ASET_scenario]]="X","extinguish",event_tree[[#This Row],[cor_ASET]]/event_tree[[#This Row],[remote_RSET]])</f>
        <v>extinguish</v>
      </c>
      <c r="AD41" t="b">
        <f>IF(OR(event_tree[[#This Row],[SOU_inside_ratio]]&lt;1,event_tree[[#This Row],[SOU_outside_ratio]]&lt;1),2)</f>
        <v>0</v>
      </c>
      <c r="AE41" t="b">
        <f>IF(event_tree[[#This Row],[remote_ratio]]&lt;1,2*(Inputs!$F$5-1))</f>
        <v>0</v>
      </c>
      <c r="AF41">
        <f>event_tree[[#This Row],[SOU_casualty]]+event_tree[[#This Row],[remote_casualty]]</f>
        <v>0</v>
      </c>
      <c r="AG41">
        <f>event_tree[[#This Row],[fire_frequency]]*event_tree[[#This Row],[probability_of_scenario]]</f>
        <v>8.2577386710000006E-5</v>
      </c>
      <c r="AH41">
        <f>event_tree[[#This Row],[total_casualty]]*event_tree[[#This Row],[fire_probability]]</f>
        <v>0</v>
      </c>
    </row>
    <row r="42" spans="1:34" x14ac:dyDescent="0.25">
      <c r="A42">
        <v>41</v>
      </c>
      <c r="B42" t="str" cm="1">
        <f t="array" ref="B4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2" t="str" cm="1">
        <f t="array" ref="C4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2" t="str" cm="1">
        <f t="array" ref="D4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2" t="str" cm="1">
        <f t="array" ref="E42">INDEX(sprinkler[sprinkler],
  1+MOD(QUOTIENT(ROW()-ROW($B$2),
     ROWS(manual_suppression[manual_suppression])*
     ROWS(door_open[door_open])*
     ROWS(smoke_seal[smoke_seal])
  ),
  ROWS(sprinkler[sprinkler]))
)</f>
        <v>Extinguish</v>
      </c>
      <c r="F42" t="str" cm="1">
        <f t="array" ref="F42">INDEX(manual_suppression[manual_suppression],
  1+MOD(QUOTIENT(ROW()-ROW($B$2),
     ROWS(door_open[door_open])*
     ROWS(smoke_seal[smoke_seal])
  ),
  ROWS(manual_suppression[manual_suppression]))
)</f>
        <v>Fail</v>
      </c>
      <c r="G42" t="str" cm="1">
        <f t="array" ref="G42">INDEX(door_open[door_open],
  1+MOD(QUOTIENT(ROW()-ROW($B$2),
     ROWS(smoke_seal[smoke_seal])
  ),
  ROWS(door_open[door_open]))
)</f>
        <v>Open</v>
      </c>
      <c r="H42" t="str" cm="1">
        <f t="array" ref="H42">INDEX(smoke_seal[smoke_seal],
  1+MOD(ROW()-ROW($B$2), ROWS(smoke_seal[smoke_seal]))
)</f>
        <v>Fail</v>
      </c>
      <c r="I42" t="str">
        <f>IF(event_tree[[#This Row],[door_open]]="Open","Open",IF(event_tree[[#This Row],[smoke_seal]]="Success","Close","Part"))</f>
        <v>Open</v>
      </c>
      <c r="J42">
        <f>IF(B42="apartment",Inputs!$I$7,Inputs!$I$6)</f>
        <v>7.7999999999999996E-3</v>
      </c>
      <c r="K42">
        <f>PRODUCT(
  INDEX(fire_location[Probability],MATCH($B42,fire_location[fire_location],0)),
  INDEX(smoke_detection_apt[Probability],MATCH($C42,smoke_detection_apt[smoke_detection_apt],0)),
  INDEX(smoke_detection_corridor[Probability],MATCH($D42,smoke_detection_corridor[smoke_detection_corridor],0)),
  INDEX(sprinkler[Probability],MATCH($E42,sprinkler[sprinkler],0)),
  INDEX(manual_suppression[Probability],MATCH($F42,manual_suppression[manual_suppression],0)),
  INDEX(door_open[Probability],MATCH($G42,door_open[door_open],0)),
  INDEX(smoke_seal[Probability],MATCH($H42,smoke_seal[smoke_seal],0))
)</f>
        <v>1.5034571999999996E-3</v>
      </c>
      <c r="L4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2" t="str">
        <f>event_tree[[#This Row],[ASET_scenario]]&amp;Inputs!$F$8</f>
        <v>X6</v>
      </c>
      <c r="N4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2" t="str">
        <f>event_tree[[#This Row],[fire_location]]&amp;Inputs!$F$8</f>
        <v>Apartment6</v>
      </c>
      <c r="Q4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2">
        <f>IF(event_tree[[#This Row],[fire_location]]="Apartment",Inputs!$F$11,Inputs!$F$12)</f>
        <v>60</v>
      </c>
      <c r="S42">
        <f>10+Inputs!$F$8</f>
        <v>16</v>
      </c>
      <c r="T4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2">
        <f>IF(event_tree[[#This Row],[fire_location]]="Apartment",Inputs!$F$12,Inputs!$F$11)</f>
        <v>600</v>
      </c>
      <c r="V42">
        <f>10+Inputs!$F$8</f>
        <v>16</v>
      </c>
      <c r="W42">
        <f>30</f>
        <v>30</v>
      </c>
      <c r="X42" t="str">
        <f>IF(event_tree[[#This Row],[ASET_scenario]]="X","extinguish",
   event_tree[[#This Row],[SOU_tdet]] + event_tree[[#This Row],[SOU_tpre]] + event_tree[[#This Row],[tnot]])</f>
        <v>extinguish</v>
      </c>
      <c r="Y42" t="str">
        <f>IF(event_tree[[#This Row],[ASET_scenario]]="X","extinguish",
   event_tree[[#This Row],[SOU_inside_RSET]] + event_tree[[#This Row],[SOU_ttrav]])</f>
        <v>extinguish</v>
      </c>
      <c r="Z4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2" t="str">
        <f>IF(event_tree[[#This Row],[ASET_scenario]]="X","extinguish", event_tree[[#This Row],[apt_ASET]]/event_tree[[#This Row],[SOU_inside_RSET]])</f>
        <v>extinguish</v>
      </c>
      <c r="AB42" t="str">
        <f>IF(event_tree[[#This Row],[ASET_scenario]]="X","extinguish",event_tree[[#This Row],[cor_ASET]]/event_tree[[#This Row],[SOU_outside_RSET]])</f>
        <v>extinguish</v>
      </c>
      <c r="AC42" t="str">
        <f>IF(event_tree[[#This Row],[ASET_scenario]]="X","extinguish",event_tree[[#This Row],[cor_ASET]]/event_tree[[#This Row],[remote_RSET]])</f>
        <v>extinguish</v>
      </c>
      <c r="AD42" t="b">
        <f>IF(OR(event_tree[[#This Row],[SOU_inside_ratio]]&lt;1,event_tree[[#This Row],[SOU_outside_ratio]]&lt;1),2)</f>
        <v>0</v>
      </c>
      <c r="AE42" t="b">
        <f>IF(event_tree[[#This Row],[remote_ratio]]&lt;1,2*(Inputs!$F$5-1))</f>
        <v>0</v>
      </c>
      <c r="AF42">
        <f>event_tree[[#This Row],[SOU_casualty]]+event_tree[[#This Row],[remote_casualty]]</f>
        <v>0</v>
      </c>
      <c r="AG42">
        <f>event_tree[[#This Row],[fire_frequency]]*event_tree[[#This Row],[probability_of_scenario]]</f>
        <v>1.1726966159999996E-5</v>
      </c>
      <c r="AH42">
        <f>event_tree[[#This Row],[total_casualty]]*event_tree[[#This Row],[fire_probability]]</f>
        <v>0</v>
      </c>
    </row>
    <row r="43" spans="1:34" x14ac:dyDescent="0.25">
      <c r="A43">
        <v>42</v>
      </c>
      <c r="B43" t="str" cm="1">
        <f t="array" ref="B4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3" t="str" cm="1">
        <f t="array" ref="C4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3" t="str" cm="1">
        <f t="array" ref="D4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3" t="str" cm="1">
        <f t="array" ref="E43">INDEX(sprinkler[sprinkler],
  1+MOD(QUOTIENT(ROW()-ROW($B$2),
     ROWS(manual_suppression[manual_suppression])*
     ROWS(door_open[door_open])*
     ROWS(smoke_seal[smoke_seal])
  ),
  ROWS(sprinkler[sprinkler]))
)</f>
        <v>Extinguish</v>
      </c>
      <c r="F43" t="str" cm="1">
        <f t="array" ref="F43">INDEX(manual_suppression[manual_suppression],
  1+MOD(QUOTIENT(ROW()-ROW($B$2),
     ROWS(door_open[door_open])*
     ROWS(smoke_seal[smoke_seal])
  ),
  ROWS(manual_suppression[manual_suppression]))
)</f>
        <v>Fail</v>
      </c>
      <c r="G43" t="str" cm="1">
        <f t="array" ref="G43">INDEX(door_open[door_open],
  1+MOD(QUOTIENT(ROW()-ROW($B$2),
     ROWS(smoke_seal[smoke_seal])
  ),
  ROWS(door_open[door_open]))
)</f>
        <v>Open</v>
      </c>
      <c r="H43" t="str" cm="1">
        <f t="array" ref="H43">INDEX(smoke_seal[smoke_seal],
  1+MOD(ROW()-ROW($B$2), ROWS(smoke_seal[smoke_seal]))
)</f>
        <v>Success</v>
      </c>
      <c r="I43" t="str">
        <f>IF(event_tree[[#This Row],[door_open]]="Open","Open",IF(event_tree[[#This Row],[smoke_seal]]="Success","Close","Part"))</f>
        <v>Open</v>
      </c>
      <c r="J43">
        <f>IF(B43="apartment",Inputs!$I$7,Inputs!$I$6)</f>
        <v>7.7999999999999996E-3</v>
      </c>
      <c r="K43">
        <f>PRODUCT(
  INDEX(fire_location[Probability],MATCH($B43,fire_location[fire_location],0)),
  INDEX(smoke_detection_apt[Probability],MATCH($C43,smoke_detection_apt[smoke_detection_apt],0)),
  INDEX(smoke_detection_corridor[Probability],MATCH($D43,smoke_detection_corridor[smoke_detection_corridor],0)),
  INDEX(sprinkler[Probability],MATCH($E43,sprinkler[sprinkler],0)),
  INDEX(manual_suppression[Probability],MATCH($F43,manual_suppression[manual_suppression],0)),
  INDEX(door_open[Probability],MATCH($G43,door_open[door_open],0)),
  INDEX(smoke_seal[Probability],MATCH($H43,smoke_seal[smoke_seal],0))
)</f>
        <v>2.7921347999999993E-3</v>
      </c>
      <c r="L4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3" t="str">
        <f>event_tree[[#This Row],[ASET_scenario]]&amp;Inputs!$F$8</f>
        <v>X6</v>
      </c>
      <c r="N4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3" t="str">
        <f>event_tree[[#This Row],[fire_location]]&amp;Inputs!$F$8</f>
        <v>Apartment6</v>
      </c>
      <c r="Q4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3">
        <f>IF(event_tree[[#This Row],[fire_location]]="Apartment",Inputs!$F$11,Inputs!$F$12)</f>
        <v>60</v>
      </c>
      <c r="S43">
        <f>10+Inputs!$F$8</f>
        <v>16</v>
      </c>
      <c r="T4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3">
        <f>IF(event_tree[[#This Row],[fire_location]]="Apartment",Inputs!$F$12,Inputs!$F$11)</f>
        <v>600</v>
      </c>
      <c r="V43">
        <f>10+Inputs!$F$8</f>
        <v>16</v>
      </c>
      <c r="W43">
        <f>30</f>
        <v>30</v>
      </c>
      <c r="X43" t="str">
        <f>IF(event_tree[[#This Row],[ASET_scenario]]="X","extinguish",
   event_tree[[#This Row],[SOU_tdet]] + event_tree[[#This Row],[SOU_tpre]] + event_tree[[#This Row],[tnot]])</f>
        <v>extinguish</v>
      </c>
      <c r="Y43" t="str">
        <f>IF(event_tree[[#This Row],[ASET_scenario]]="X","extinguish",
   event_tree[[#This Row],[SOU_inside_RSET]] + event_tree[[#This Row],[SOU_ttrav]])</f>
        <v>extinguish</v>
      </c>
      <c r="Z4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3" t="str">
        <f>IF(event_tree[[#This Row],[ASET_scenario]]="X","extinguish", event_tree[[#This Row],[apt_ASET]]/event_tree[[#This Row],[SOU_inside_RSET]])</f>
        <v>extinguish</v>
      </c>
      <c r="AB43" t="str">
        <f>IF(event_tree[[#This Row],[ASET_scenario]]="X","extinguish",event_tree[[#This Row],[cor_ASET]]/event_tree[[#This Row],[SOU_outside_RSET]])</f>
        <v>extinguish</v>
      </c>
      <c r="AC43" t="str">
        <f>IF(event_tree[[#This Row],[ASET_scenario]]="X","extinguish",event_tree[[#This Row],[cor_ASET]]/event_tree[[#This Row],[remote_RSET]])</f>
        <v>extinguish</v>
      </c>
      <c r="AD43" t="b">
        <f>IF(OR(event_tree[[#This Row],[SOU_inside_ratio]]&lt;1,event_tree[[#This Row],[SOU_outside_ratio]]&lt;1),2)</f>
        <v>0</v>
      </c>
      <c r="AE43" t="b">
        <f>IF(event_tree[[#This Row],[remote_ratio]]&lt;1,2*(Inputs!$F$5-1))</f>
        <v>0</v>
      </c>
      <c r="AF43">
        <f>event_tree[[#This Row],[SOU_casualty]]+event_tree[[#This Row],[remote_casualty]]</f>
        <v>0</v>
      </c>
      <c r="AG43">
        <f>event_tree[[#This Row],[fire_frequency]]*event_tree[[#This Row],[probability_of_scenario]]</f>
        <v>2.1778651439999994E-5</v>
      </c>
      <c r="AH43">
        <f>event_tree[[#This Row],[total_casualty]]*event_tree[[#This Row],[fire_probability]]</f>
        <v>0</v>
      </c>
    </row>
    <row r="44" spans="1:34" x14ac:dyDescent="0.25">
      <c r="A44">
        <v>43</v>
      </c>
      <c r="B44" t="str" cm="1">
        <f t="array" ref="B4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4" t="str" cm="1">
        <f t="array" ref="C4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4" t="str" cm="1">
        <f t="array" ref="D4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4" t="str" cm="1">
        <f t="array" ref="E44">INDEX(sprinkler[sprinkler],
  1+MOD(QUOTIENT(ROW()-ROW($B$2),
     ROWS(manual_suppression[manual_suppression])*
     ROWS(door_open[door_open])*
     ROWS(smoke_seal[smoke_seal])
  ),
  ROWS(sprinkler[sprinkler]))
)</f>
        <v>Extinguish</v>
      </c>
      <c r="F44" t="str" cm="1">
        <f t="array" ref="F44">INDEX(manual_suppression[manual_suppression],
  1+MOD(QUOTIENT(ROW()-ROW($B$2),
     ROWS(door_open[door_open])*
     ROWS(smoke_seal[smoke_seal])
  ),
  ROWS(manual_suppression[manual_suppression]))
)</f>
        <v>Fail</v>
      </c>
      <c r="G44" t="str" cm="1">
        <f t="array" ref="G44">INDEX(door_open[door_open],
  1+MOD(QUOTIENT(ROW()-ROW($B$2),
     ROWS(smoke_seal[smoke_seal])
  ),
  ROWS(door_open[door_open]))
)</f>
        <v>Closed</v>
      </c>
      <c r="H44" t="str" cm="1">
        <f t="array" ref="H44">INDEX(smoke_seal[smoke_seal],
  1+MOD(ROW()-ROW($B$2), ROWS(smoke_seal[smoke_seal]))
)</f>
        <v>Fail</v>
      </c>
      <c r="I44" t="str">
        <f>IF(event_tree[[#This Row],[door_open]]="Open","Open",IF(event_tree[[#This Row],[smoke_seal]]="Success","Close","Part"))</f>
        <v>Part</v>
      </c>
      <c r="J44">
        <f>IF(B44="apartment",Inputs!$I$7,Inputs!$I$6)</f>
        <v>7.7999999999999996E-3</v>
      </c>
      <c r="K44">
        <f>PRODUCT(
  INDEX(fire_location[Probability],MATCH($B44,fire_location[fire_location],0)),
  INDEX(smoke_detection_apt[Probability],MATCH($C44,smoke_detection_apt[smoke_detection_apt],0)),
  INDEX(smoke_detection_corridor[Probability],MATCH($D44,smoke_detection_corridor[smoke_detection_corridor],0)),
  INDEX(sprinkler[Probability],MATCH($E44,sprinkler[sprinkler],0)),
  INDEX(manual_suppression[Probability],MATCH($F44,manual_suppression[manual_suppression],0)),
  INDEX(door_open[Probability],MATCH($G44,door_open[door_open],0)),
  INDEX(smoke_seal[Probability],MATCH($H44,smoke_seal[smoke_seal],0))
)</f>
        <v>3.5080667999999992E-3</v>
      </c>
      <c r="L4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4" t="str">
        <f>event_tree[[#This Row],[ASET_scenario]]&amp;Inputs!$F$8</f>
        <v>X6</v>
      </c>
      <c r="N4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4" t="str">
        <f>event_tree[[#This Row],[fire_location]]&amp;Inputs!$F$8</f>
        <v>Apartment6</v>
      </c>
      <c r="Q4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4">
        <f>IF(event_tree[[#This Row],[fire_location]]="Apartment",Inputs!$F$11,Inputs!$F$12)</f>
        <v>60</v>
      </c>
      <c r="S44">
        <f>10+Inputs!$F$8</f>
        <v>16</v>
      </c>
      <c r="T4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4">
        <f>IF(event_tree[[#This Row],[fire_location]]="Apartment",Inputs!$F$12,Inputs!$F$11)</f>
        <v>600</v>
      </c>
      <c r="V44">
        <f>10+Inputs!$F$8</f>
        <v>16</v>
      </c>
      <c r="W44">
        <f>30</f>
        <v>30</v>
      </c>
      <c r="X44" t="str">
        <f>IF(event_tree[[#This Row],[ASET_scenario]]="X","extinguish",
   event_tree[[#This Row],[SOU_tdet]] + event_tree[[#This Row],[SOU_tpre]] + event_tree[[#This Row],[tnot]])</f>
        <v>extinguish</v>
      </c>
      <c r="Y44" t="str">
        <f>IF(event_tree[[#This Row],[ASET_scenario]]="X","extinguish",
   event_tree[[#This Row],[SOU_inside_RSET]] + event_tree[[#This Row],[SOU_ttrav]])</f>
        <v>extinguish</v>
      </c>
      <c r="Z4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4" t="str">
        <f>IF(event_tree[[#This Row],[ASET_scenario]]="X","extinguish", event_tree[[#This Row],[apt_ASET]]/event_tree[[#This Row],[SOU_inside_RSET]])</f>
        <v>extinguish</v>
      </c>
      <c r="AB44" t="str">
        <f>IF(event_tree[[#This Row],[ASET_scenario]]="X","extinguish",event_tree[[#This Row],[cor_ASET]]/event_tree[[#This Row],[SOU_outside_RSET]])</f>
        <v>extinguish</v>
      </c>
      <c r="AC44" t="str">
        <f>IF(event_tree[[#This Row],[ASET_scenario]]="X","extinguish",event_tree[[#This Row],[cor_ASET]]/event_tree[[#This Row],[remote_RSET]])</f>
        <v>extinguish</v>
      </c>
      <c r="AD44" t="b">
        <f>IF(OR(event_tree[[#This Row],[SOU_inside_ratio]]&lt;1,event_tree[[#This Row],[SOU_outside_ratio]]&lt;1),2)</f>
        <v>0</v>
      </c>
      <c r="AE44" t="b">
        <f>IF(event_tree[[#This Row],[remote_ratio]]&lt;1,2*(Inputs!$F$5-1))</f>
        <v>0</v>
      </c>
      <c r="AF44">
        <f>event_tree[[#This Row],[SOU_casualty]]+event_tree[[#This Row],[remote_casualty]]</f>
        <v>0</v>
      </c>
      <c r="AG44">
        <f>event_tree[[#This Row],[fire_frequency]]*event_tree[[#This Row],[probability_of_scenario]]</f>
        <v>2.7362921039999992E-5</v>
      </c>
      <c r="AH44">
        <f>event_tree[[#This Row],[total_casualty]]*event_tree[[#This Row],[fire_probability]]</f>
        <v>0</v>
      </c>
    </row>
    <row r="45" spans="1:34" x14ac:dyDescent="0.25">
      <c r="A45">
        <v>44</v>
      </c>
      <c r="B45" t="str" cm="1">
        <f t="array" ref="B4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5" t="str" cm="1">
        <f t="array" ref="C4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5" t="str" cm="1">
        <f t="array" ref="D4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5" t="str" cm="1">
        <f t="array" ref="E45">INDEX(sprinkler[sprinkler],
  1+MOD(QUOTIENT(ROW()-ROW($B$2),
     ROWS(manual_suppression[manual_suppression])*
     ROWS(door_open[door_open])*
     ROWS(smoke_seal[smoke_seal])
  ),
  ROWS(sprinkler[sprinkler]))
)</f>
        <v>Extinguish</v>
      </c>
      <c r="F45" t="str" cm="1">
        <f t="array" ref="F45">INDEX(manual_suppression[manual_suppression],
  1+MOD(QUOTIENT(ROW()-ROW($B$2),
     ROWS(door_open[door_open])*
     ROWS(smoke_seal[smoke_seal])
  ),
  ROWS(manual_suppression[manual_suppression]))
)</f>
        <v>Fail</v>
      </c>
      <c r="G45" t="str" cm="1">
        <f t="array" ref="G45">INDEX(door_open[door_open],
  1+MOD(QUOTIENT(ROW()-ROW($B$2),
     ROWS(smoke_seal[smoke_seal])
  ),
  ROWS(door_open[door_open]))
)</f>
        <v>Closed</v>
      </c>
      <c r="H45" t="str" cm="1">
        <f t="array" ref="H45">INDEX(smoke_seal[smoke_seal],
  1+MOD(ROW()-ROW($B$2), ROWS(smoke_seal[smoke_seal]))
)</f>
        <v>Success</v>
      </c>
      <c r="I45" t="str">
        <f>IF(event_tree[[#This Row],[door_open]]="Open","Open",IF(event_tree[[#This Row],[smoke_seal]]="Success","Close","Part"))</f>
        <v>Close</v>
      </c>
      <c r="J45">
        <f>IF(B45="apartment",Inputs!$I$7,Inputs!$I$6)</f>
        <v>7.7999999999999996E-3</v>
      </c>
      <c r="K45">
        <f>PRODUCT(
  INDEX(fire_location[Probability],MATCH($B45,fire_location[fire_location],0)),
  INDEX(smoke_detection_apt[Probability],MATCH($C45,smoke_detection_apt[smoke_detection_apt],0)),
  INDEX(smoke_detection_corridor[Probability],MATCH($D45,smoke_detection_corridor[smoke_detection_corridor],0)),
  INDEX(sprinkler[Probability],MATCH($E45,sprinkler[sprinkler],0)),
  INDEX(manual_suppression[Probability],MATCH($F45,manual_suppression[manual_suppression],0)),
  INDEX(door_open[Probability],MATCH($G45,door_open[door_open],0)),
  INDEX(smoke_seal[Probability],MATCH($H45,smoke_seal[smoke_seal],0))
)</f>
        <v>6.5149811999999988E-3</v>
      </c>
      <c r="L4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5" t="str">
        <f>event_tree[[#This Row],[ASET_scenario]]&amp;Inputs!$F$8</f>
        <v>X6</v>
      </c>
      <c r="N4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5" t="str">
        <f>event_tree[[#This Row],[fire_location]]&amp;Inputs!$F$8</f>
        <v>Apartment6</v>
      </c>
      <c r="Q4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5">
        <f>IF(event_tree[[#This Row],[fire_location]]="Apartment",Inputs!$F$11,Inputs!$F$12)</f>
        <v>60</v>
      </c>
      <c r="S45">
        <f>10+Inputs!$F$8</f>
        <v>16</v>
      </c>
      <c r="T4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5">
        <f>IF(event_tree[[#This Row],[fire_location]]="Apartment",Inputs!$F$12,Inputs!$F$11)</f>
        <v>600</v>
      </c>
      <c r="V45">
        <f>10+Inputs!$F$8</f>
        <v>16</v>
      </c>
      <c r="W45">
        <f>30</f>
        <v>30</v>
      </c>
      <c r="X45" t="str">
        <f>IF(event_tree[[#This Row],[ASET_scenario]]="X","extinguish",
   event_tree[[#This Row],[SOU_tdet]] + event_tree[[#This Row],[SOU_tpre]] + event_tree[[#This Row],[tnot]])</f>
        <v>extinguish</v>
      </c>
      <c r="Y45" t="str">
        <f>IF(event_tree[[#This Row],[ASET_scenario]]="X","extinguish",
   event_tree[[#This Row],[SOU_inside_RSET]] + event_tree[[#This Row],[SOU_ttrav]])</f>
        <v>extinguish</v>
      </c>
      <c r="Z4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5" t="str">
        <f>IF(event_tree[[#This Row],[ASET_scenario]]="X","extinguish", event_tree[[#This Row],[apt_ASET]]/event_tree[[#This Row],[SOU_inside_RSET]])</f>
        <v>extinguish</v>
      </c>
      <c r="AB45" t="str">
        <f>IF(event_tree[[#This Row],[ASET_scenario]]="X","extinguish",event_tree[[#This Row],[cor_ASET]]/event_tree[[#This Row],[SOU_outside_RSET]])</f>
        <v>extinguish</v>
      </c>
      <c r="AC45" t="str">
        <f>IF(event_tree[[#This Row],[ASET_scenario]]="X","extinguish",event_tree[[#This Row],[cor_ASET]]/event_tree[[#This Row],[remote_RSET]])</f>
        <v>extinguish</v>
      </c>
      <c r="AD45" t="b">
        <f>IF(OR(event_tree[[#This Row],[SOU_inside_ratio]]&lt;1,event_tree[[#This Row],[SOU_outside_ratio]]&lt;1),2)</f>
        <v>0</v>
      </c>
      <c r="AE45" t="b">
        <f>IF(event_tree[[#This Row],[remote_ratio]]&lt;1,2*(Inputs!$F$5-1))</f>
        <v>0</v>
      </c>
      <c r="AF45">
        <f>event_tree[[#This Row],[SOU_casualty]]+event_tree[[#This Row],[remote_casualty]]</f>
        <v>0</v>
      </c>
      <c r="AG45">
        <f>event_tree[[#This Row],[fire_frequency]]*event_tree[[#This Row],[probability_of_scenario]]</f>
        <v>5.081685335999999E-5</v>
      </c>
      <c r="AH45">
        <f>event_tree[[#This Row],[total_casualty]]*event_tree[[#This Row],[fire_probability]]</f>
        <v>0</v>
      </c>
    </row>
    <row r="46" spans="1:34" x14ac:dyDescent="0.25">
      <c r="A46">
        <v>45</v>
      </c>
      <c r="B46" t="str" cm="1">
        <f t="array" ref="B4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6" t="str" cm="1">
        <f t="array" ref="C4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6" t="str" cm="1">
        <f t="array" ref="D4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6" t="str" cm="1">
        <f t="array" ref="E46">INDEX(sprinkler[sprinkler],
  1+MOD(QUOTIENT(ROW()-ROW($B$2),
     ROWS(manual_suppression[manual_suppression])*
     ROWS(door_open[door_open])*
     ROWS(smoke_seal[smoke_seal])
  ),
  ROWS(sprinkler[sprinkler]))
)</f>
        <v>Extinguish</v>
      </c>
      <c r="F46" t="str" cm="1">
        <f t="array" ref="F46">INDEX(manual_suppression[manual_suppression],
  1+MOD(QUOTIENT(ROW()-ROW($B$2),
     ROWS(door_open[door_open])*
     ROWS(smoke_seal[smoke_seal])
  ),
  ROWS(manual_suppression[manual_suppression]))
)</f>
        <v>Suppress</v>
      </c>
      <c r="G46" t="str" cm="1">
        <f t="array" ref="G46">INDEX(door_open[door_open],
  1+MOD(QUOTIENT(ROW()-ROW($B$2),
     ROWS(smoke_seal[smoke_seal])
  ),
  ROWS(door_open[door_open]))
)</f>
        <v>Open</v>
      </c>
      <c r="H46" t="str" cm="1">
        <f t="array" ref="H46">INDEX(smoke_seal[smoke_seal],
  1+MOD(ROW()-ROW($B$2), ROWS(smoke_seal[smoke_seal]))
)</f>
        <v>Fail</v>
      </c>
      <c r="I46" t="str">
        <f>IF(event_tree[[#This Row],[door_open]]="Open","Open",IF(event_tree[[#This Row],[smoke_seal]]="Success","Close","Part"))</f>
        <v>Open</v>
      </c>
      <c r="J46">
        <f>IF(B46="apartment",Inputs!$I$7,Inputs!$I$6)</f>
        <v>7.7999999999999996E-3</v>
      </c>
      <c r="K46">
        <f>PRODUCT(
  INDEX(fire_location[Probability],MATCH($B46,fire_location[fire_location],0)),
  INDEX(smoke_detection_apt[Probability],MATCH($C46,smoke_detection_apt[smoke_detection_apt],0)),
  INDEX(smoke_detection_corridor[Probability],MATCH($D46,smoke_detection_corridor[smoke_detection_corridor],0)),
  INDEX(sprinkler[Probability],MATCH($E46,sprinkler[sprinkler],0)),
  INDEX(manual_suppression[Probability],MATCH($F46,manual_suppression[manual_suppression],0)),
  INDEX(door_open[Probability],MATCH($G46,door_open[door_open],0)),
  INDEX(smoke_seal[Probability],MATCH($H46,smoke_seal[smoke_seal],0))
)</f>
        <v>2.7921347999999998E-3</v>
      </c>
      <c r="L4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6" t="str">
        <f>event_tree[[#This Row],[ASET_scenario]]&amp;Inputs!$F$8</f>
        <v>X6</v>
      </c>
      <c r="N4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6" t="str">
        <f>event_tree[[#This Row],[fire_location]]&amp;Inputs!$F$8</f>
        <v>Apartment6</v>
      </c>
      <c r="Q4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6">
        <f>IF(event_tree[[#This Row],[fire_location]]="Apartment",Inputs!$F$11,Inputs!$F$12)</f>
        <v>60</v>
      </c>
      <c r="S46">
        <f>10+Inputs!$F$8</f>
        <v>16</v>
      </c>
      <c r="T4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6">
        <f>IF(event_tree[[#This Row],[fire_location]]="Apartment",Inputs!$F$12,Inputs!$F$11)</f>
        <v>600</v>
      </c>
      <c r="V46">
        <f>10+Inputs!$F$8</f>
        <v>16</v>
      </c>
      <c r="W46">
        <f>30</f>
        <v>30</v>
      </c>
      <c r="X46" t="str">
        <f>IF(event_tree[[#This Row],[ASET_scenario]]="X","extinguish",
   event_tree[[#This Row],[SOU_tdet]] + event_tree[[#This Row],[SOU_tpre]] + event_tree[[#This Row],[tnot]])</f>
        <v>extinguish</v>
      </c>
      <c r="Y46" t="str">
        <f>IF(event_tree[[#This Row],[ASET_scenario]]="X","extinguish",
   event_tree[[#This Row],[SOU_inside_RSET]] + event_tree[[#This Row],[SOU_ttrav]])</f>
        <v>extinguish</v>
      </c>
      <c r="Z4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6" t="str">
        <f>IF(event_tree[[#This Row],[ASET_scenario]]="X","extinguish", event_tree[[#This Row],[apt_ASET]]/event_tree[[#This Row],[SOU_inside_RSET]])</f>
        <v>extinguish</v>
      </c>
      <c r="AB46" t="str">
        <f>IF(event_tree[[#This Row],[ASET_scenario]]="X","extinguish",event_tree[[#This Row],[cor_ASET]]/event_tree[[#This Row],[SOU_outside_RSET]])</f>
        <v>extinguish</v>
      </c>
      <c r="AC46" t="str">
        <f>IF(event_tree[[#This Row],[ASET_scenario]]="X","extinguish",event_tree[[#This Row],[cor_ASET]]/event_tree[[#This Row],[remote_RSET]])</f>
        <v>extinguish</v>
      </c>
      <c r="AD46" t="b">
        <f>IF(OR(event_tree[[#This Row],[SOU_inside_ratio]]&lt;1,event_tree[[#This Row],[SOU_outside_ratio]]&lt;1),2)</f>
        <v>0</v>
      </c>
      <c r="AE46" t="b">
        <f>IF(event_tree[[#This Row],[remote_ratio]]&lt;1,2*(Inputs!$F$5-1))</f>
        <v>0</v>
      </c>
      <c r="AF46">
        <f>event_tree[[#This Row],[SOU_casualty]]+event_tree[[#This Row],[remote_casualty]]</f>
        <v>0</v>
      </c>
      <c r="AG46">
        <f>event_tree[[#This Row],[fire_frequency]]*event_tree[[#This Row],[probability_of_scenario]]</f>
        <v>2.1778651439999997E-5</v>
      </c>
      <c r="AH46">
        <f>event_tree[[#This Row],[total_casualty]]*event_tree[[#This Row],[fire_probability]]</f>
        <v>0</v>
      </c>
    </row>
    <row r="47" spans="1:34" x14ac:dyDescent="0.25">
      <c r="A47">
        <v>46</v>
      </c>
      <c r="B47" t="str" cm="1">
        <f t="array" ref="B4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7" t="str" cm="1">
        <f t="array" ref="C4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7" t="str" cm="1">
        <f t="array" ref="D4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7" t="str" cm="1">
        <f t="array" ref="E47">INDEX(sprinkler[sprinkler],
  1+MOD(QUOTIENT(ROW()-ROW($B$2),
     ROWS(manual_suppression[manual_suppression])*
     ROWS(door_open[door_open])*
     ROWS(smoke_seal[smoke_seal])
  ),
  ROWS(sprinkler[sprinkler]))
)</f>
        <v>Extinguish</v>
      </c>
      <c r="F47" t="str" cm="1">
        <f t="array" ref="F47">INDEX(manual_suppression[manual_suppression],
  1+MOD(QUOTIENT(ROW()-ROW($B$2),
     ROWS(door_open[door_open])*
     ROWS(smoke_seal[smoke_seal])
  ),
  ROWS(manual_suppression[manual_suppression]))
)</f>
        <v>Suppress</v>
      </c>
      <c r="G47" t="str" cm="1">
        <f t="array" ref="G47">INDEX(door_open[door_open],
  1+MOD(QUOTIENT(ROW()-ROW($B$2),
     ROWS(smoke_seal[smoke_seal])
  ),
  ROWS(door_open[door_open]))
)</f>
        <v>Open</v>
      </c>
      <c r="H47" t="str" cm="1">
        <f t="array" ref="H47">INDEX(smoke_seal[smoke_seal],
  1+MOD(ROW()-ROW($B$2), ROWS(smoke_seal[smoke_seal]))
)</f>
        <v>Success</v>
      </c>
      <c r="I47" t="str">
        <f>IF(event_tree[[#This Row],[door_open]]="Open","Open",IF(event_tree[[#This Row],[smoke_seal]]="Success","Close","Part"))</f>
        <v>Open</v>
      </c>
      <c r="J47">
        <f>IF(B47="apartment",Inputs!$I$7,Inputs!$I$6)</f>
        <v>7.7999999999999996E-3</v>
      </c>
      <c r="K47">
        <f>PRODUCT(
  INDEX(fire_location[Probability],MATCH($B47,fire_location[fire_location],0)),
  INDEX(smoke_detection_apt[Probability],MATCH($C47,smoke_detection_apt[smoke_detection_apt],0)),
  INDEX(smoke_detection_corridor[Probability],MATCH($D47,smoke_detection_corridor[smoke_detection_corridor],0)),
  INDEX(sprinkler[Probability],MATCH($E47,sprinkler[sprinkler],0)),
  INDEX(manual_suppression[Probability],MATCH($F47,manual_suppression[manual_suppression],0)),
  INDEX(door_open[Probability],MATCH($G47,door_open[door_open],0)),
  INDEX(smoke_seal[Probability],MATCH($H47,smoke_seal[smoke_seal],0))
)</f>
        <v>5.1853932E-3</v>
      </c>
      <c r="L4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7" t="str">
        <f>event_tree[[#This Row],[ASET_scenario]]&amp;Inputs!$F$8</f>
        <v>X6</v>
      </c>
      <c r="N4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7" t="str">
        <f>event_tree[[#This Row],[fire_location]]&amp;Inputs!$F$8</f>
        <v>Apartment6</v>
      </c>
      <c r="Q4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7">
        <f>IF(event_tree[[#This Row],[fire_location]]="Apartment",Inputs!$F$11,Inputs!$F$12)</f>
        <v>60</v>
      </c>
      <c r="S47">
        <f>10+Inputs!$F$8</f>
        <v>16</v>
      </c>
      <c r="T4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7">
        <f>IF(event_tree[[#This Row],[fire_location]]="Apartment",Inputs!$F$12,Inputs!$F$11)</f>
        <v>600</v>
      </c>
      <c r="V47">
        <f>10+Inputs!$F$8</f>
        <v>16</v>
      </c>
      <c r="W47">
        <f>30</f>
        <v>30</v>
      </c>
      <c r="X47" t="str">
        <f>IF(event_tree[[#This Row],[ASET_scenario]]="X","extinguish",
   event_tree[[#This Row],[SOU_tdet]] + event_tree[[#This Row],[SOU_tpre]] + event_tree[[#This Row],[tnot]])</f>
        <v>extinguish</v>
      </c>
      <c r="Y47" t="str">
        <f>IF(event_tree[[#This Row],[ASET_scenario]]="X","extinguish",
   event_tree[[#This Row],[SOU_inside_RSET]] + event_tree[[#This Row],[SOU_ttrav]])</f>
        <v>extinguish</v>
      </c>
      <c r="Z4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7" t="str">
        <f>IF(event_tree[[#This Row],[ASET_scenario]]="X","extinguish", event_tree[[#This Row],[apt_ASET]]/event_tree[[#This Row],[SOU_inside_RSET]])</f>
        <v>extinguish</v>
      </c>
      <c r="AB47" t="str">
        <f>IF(event_tree[[#This Row],[ASET_scenario]]="X","extinguish",event_tree[[#This Row],[cor_ASET]]/event_tree[[#This Row],[SOU_outside_RSET]])</f>
        <v>extinguish</v>
      </c>
      <c r="AC47" t="str">
        <f>IF(event_tree[[#This Row],[ASET_scenario]]="X","extinguish",event_tree[[#This Row],[cor_ASET]]/event_tree[[#This Row],[remote_RSET]])</f>
        <v>extinguish</v>
      </c>
      <c r="AD47" t="b">
        <f>IF(OR(event_tree[[#This Row],[SOU_inside_ratio]]&lt;1,event_tree[[#This Row],[SOU_outside_ratio]]&lt;1),2)</f>
        <v>0</v>
      </c>
      <c r="AE47" t="b">
        <f>IF(event_tree[[#This Row],[remote_ratio]]&lt;1,2*(Inputs!$F$5-1))</f>
        <v>0</v>
      </c>
      <c r="AF47">
        <f>event_tree[[#This Row],[SOU_casualty]]+event_tree[[#This Row],[remote_casualty]]</f>
        <v>0</v>
      </c>
      <c r="AG47">
        <f>event_tree[[#This Row],[fire_frequency]]*event_tree[[#This Row],[probability_of_scenario]]</f>
        <v>4.0446066959999996E-5</v>
      </c>
      <c r="AH47">
        <f>event_tree[[#This Row],[total_casualty]]*event_tree[[#This Row],[fire_probability]]</f>
        <v>0</v>
      </c>
    </row>
    <row r="48" spans="1:34" x14ac:dyDescent="0.25">
      <c r="A48">
        <v>47</v>
      </c>
      <c r="B48" t="str" cm="1">
        <f t="array" ref="B4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8" t="str" cm="1">
        <f t="array" ref="C4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8" t="str" cm="1">
        <f t="array" ref="D4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8" t="str" cm="1">
        <f t="array" ref="E48">INDEX(sprinkler[sprinkler],
  1+MOD(QUOTIENT(ROW()-ROW($B$2),
     ROWS(manual_suppression[manual_suppression])*
     ROWS(door_open[door_open])*
     ROWS(smoke_seal[smoke_seal])
  ),
  ROWS(sprinkler[sprinkler]))
)</f>
        <v>Extinguish</v>
      </c>
      <c r="F48" t="str" cm="1">
        <f t="array" ref="F48">INDEX(manual_suppression[manual_suppression],
  1+MOD(QUOTIENT(ROW()-ROW($B$2),
     ROWS(door_open[door_open])*
     ROWS(smoke_seal[smoke_seal])
  ),
  ROWS(manual_suppression[manual_suppression]))
)</f>
        <v>Suppress</v>
      </c>
      <c r="G48" t="str" cm="1">
        <f t="array" ref="G48">INDEX(door_open[door_open],
  1+MOD(QUOTIENT(ROW()-ROW($B$2),
     ROWS(smoke_seal[smoke_seal])
  ),
  ROWS(door_open[door_open]))
)</f>
        <v>Closed</v>
      </c>
      <c r="H48" t="str" cm="1">
        <f t="array" ref="H48">INDEX(smoke_seal[smoke_seal],
  1+MOD(ROW()-ROW($B$2), ROWS(smoke_seal[smoke_seal]))
)</f>
        <v>Fail</v>
      </c>
      <c r="I48" t="str">
        <f>IF(event_tree[[#This Row],[door_open]]="Open","Open",IF(event_tree[[#This Row],[smoke_seal]]="Success","Close","Part"))</f>
        <v>Part</v>
      </c>
      <c r="J48">
        <f>IF(B48="apartment",Inputs!$I$7,Inputs!$I$6)</f>
        <v>7.7999999999999996E-3</v>
      </c>
      <c r="K48">
        <f>PRODUCT(
  INDEX(fire_location[Probability],MATCH($B48,fire_location[fire_location],0)),
  INDEX(smoke_detection_apt[Probability],MATCH($C48,smoke_detection_apt[smoke_detection_apt],0)),
  INDEX(smoke_detection_corridor[Probability],MATCH($D48,smoke_detection_corridor[smoke_detection_corridor],0)),
  INDEX(sprinkler[Probability],MATCH($E48,sprinkler[sprinkler],0)),
  INDEX(manual_suppression[Probability],MATCH($F48,manual_suppression[manual_suppression],0)),
  INDEX(door_open[Probability],MATCH($G48,door_open[door_open],0)),
  INDEX(smoke_seal[Probability],MATCH($H48,smoke_seal[smoke_seal],0))
)</f>
        <v>6.5149811999999988E-3</v>
      </c>
      <c r="L4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8" t="str">
        <f>event_tree[[#This Row],[ASET_scenario]]&amp;Inputs!$F$8</f>
        <v>X6</v>
      </c>
      <c r="N4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8" t="str">
        <f>event_tree[[#This Row],[fire_location]]&amp;Inputs!$F$8</f>
        <v>Apartment6</v>
      </c>
      <c r="Q4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8">
        <f>IF(event_tree[[#This Row],[fire_location]]="Apartment",Inputs!$F$11,Inputs!$F$12)</f>
        <v>60</v>
      </c>
      <c r="S48">
        <f>10+Inputs!$F$8</f>
        <v>16</v>
      </c>
      <c r="T4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8">
        <f>IF(event_tree[[#This Row],[fire_location]]="Apartment",Inputs!$F$12,Inputs!$F$11)</f>
        <v>600</v>
      </c>
      <c r="V48">
        <f>10+Inputs!$F$8</f>
        <v>16</v>
      </c>
      <c r="W48">
        <f>30</f>
        <v>30</v>
      </c>
      <c r="X48" t="str">
        <f>IF(event_tree[[#This Row],[ASET_scenario]]="X","extinguish",
   event_tree[[#This Row],[SOU_tdet]] + event_tree[[#This Row],[SOU_tpre]] + event_tree[[#This Row],[tnot]])</f>
        <v>extinguish</v>
      </c>
      <c r="Y48" t="str">
        <f>IF(event_tree[[#This Row],[ASET_scenario]]="X","extinguish",
   event_tree[[#This Row],[SOU_inside_RSET]] + event_tree[[#This Row],[SOU_ttrav]])</f>
        <v>extinguish</v>
      </c>
      <c r="Z4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8" t="str">
        <f>IF(event_tree[[#This Row],[ASET_scenario]]="X","extinguish", event_tree[[#This Row],[apt_ASET]]/event_tree[[#This Row],[SOU_inside_RSET]])</f>
        <v>extinguish</v>
      </c>
      <c r="AB48" t="str">
        <f>IF(event_tree[[#This Row],[ASET_scenario]]="X","extinguish",event_tree[[#This Row],[cor_ASET]]/event_tree[[#This Row],[SOU_outside_RSET]])</f>
        <v>extinguish</v>
      </c>
      <c r="AC48" t="str">
        <f>IF(event_tree[[#This Row],[ASET_scenario]]="X","extinguish",event_tree[[#This Row],[cor_ASET]]/event_tree[[#This Row],[remote_RSET]])</f>
        <v>extinguish</v>
      </c>
      <c r="AD48" t="b">
        <f>IF(OR(event_tree[[#This Row],[SOU_inside_ratio]]&lt;1,event_tree[[#This Row],[SOU_outside_ratio]]&lt;1),2)</f>
        <v>0</v>
      </c>
      <c r="AE48" t="b">
        <f>IF(event_tree[[#This Row],[remote_ratio]]&lt;1,2*(Inputs!$F$5-1))</f>
        <v>0</v>
      </c>
      <c r="AF48">
        <f>event_tree[[#This Row],[SOU_casualty]]+event_tree[[#This Row],[remote_casualty]]</f>
        <v>0</v>
      </c>
      <c r="AG48">
        <f>event_tree[[#This Row],[fire_frequency]]*event_tree[[#This Row],[probability_of_scenario]]</f>
        <v>5.081685335999999E-5</v>
      </c>
      <c r="AH48">
        <f>event_tree[[#This Row],[total_casualty]]*event_tree[[#This Row],[fire_probability]]</f>
        <v>0</v>
      </c>
    </row>
    <row r="49" spans="1:34" x14ac:dyDescent="0.25">
      <c r="A49">
        <v>48</v>
      </c>
      <c r="B49" t="str" cm="1">
        <f t="array" ref="B4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49" t="str" cm="1">
        <f t="array" ref="C4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49" t="str" cm="1">
        <f t="array" ref="D4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49" t="str" cm="1">
        <f t="array" ref="E49">INDEX(sprinkler[sprinkler],
  1+MOD(QUOTIENT(ROW()-ROW($B$2),
     ROWS(manual_suppression[manual_suppression])*
     ROWS(door_open[door_open])*
     ROWS(smoke_seal[smoke_seal])
  ),
  ROWS(sprinkler[sprinkler]))
)</f>
        <v>Extinguish</v>
      </c>
      <c r="F49" t="str" cm="1">
        <f t="array" ref="F49">INDEX(manual_suppression[manual_suppression],
  1+MOD(QUOTIENT(ROW()-ROW($B$2),
     ROWS(door_open[door_open])*
     ROWS(smoke_seal[smoke_seal])
  ),
  ROWS(manual_suppression[manual_suppression]))
)</f>
        <v>Suppress</v>
      </c>
      <c r="G49" t="str" cm="1">
        <f t="array" ref="G49">INDEX(door_open[door_open],
  1+MOD(QUOTIENT(ROW()-ROW($B$2),
     ROWS(smoke_seal[smoke_seal])
  ),
  ROWS(door_open[door_open]))
)</f>
        <v>Closed</v>
      </c>
      <c r="H49" t="str" cm="1">
        <f t="array" ref="H49">INDEX(smoke_seal[smoke_seal],
  1+MOD(ROW()-ROW($B$2), ROWS(smoke_seal[smoke_seal]))
)</f>
        <v>Success</v>
      </c>
      <c r="I49" t="str">
        <f>IF(event_tree[[#This Row],[door_open]]="Open","Open",IF(event_tree[[#This Row],[smoke_seal]]="Success","Close","Part"))</f>
        <v>Close</v>
      </c>
      <c r="J49">
        <f>IF(B49="apartment",Inputs!$I$7,Inputs!$I$6)</f>
        <v>7.7999999999999996E-3</v>
      </c>
      <c r="K49">
        <f>PRODUCT(
  INDEX(fire_location[Probability],MATCH($B49,fire_location[fire_location],0)),
  INDEX(smoke_detection_apt[Probability],MATCH($C49,smoke_detection_apt[smoke_detection_apt],0)),
  INDEX(smoke_detection_corridor[Probability],MATCH($D49,smoke_detection_corridor[smoke_detection_corridor],0)),
  INDEX(sprinkler[Probability],MATCH($E49,sprinkler[sprinkler],0)),
  INDEX(manual_suppression[Probability],MATCH($F49,manual_suppression[manual_suppression],0)),
  INDEX(door_open[Probability],MATCH($G49,door_open[door_open],0)),
  INDEX(smoke_seal[Probability],MATCH($H49,smoke_seal[smoke_seal],0))
)</f>
        <v>1.2099250799999999E-2</v>
      </c>
      <c r="L4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49" t="str">
        <f>event_tree[[#This Row],[ASET_scenario]]&amp;Inputs!$F$8</f>
        <v>X6</v>
      </c>
      <c r="N4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4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49" t="str">
        <f>event_tree[[#This Row],[fire_location]]&amp;Inputs!$F$8</f>
        <v>Apartment6</v>
      </c>
      <c r="Q4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49">
        <f>IF(event_tree[[#This Row],[fire_location]]="Apartment",Inputs!$F$11,Inputs!$F$12)</f>
        <v>60</v>
      </c>
      <c r="S49">
        <f>10+Inputs!$F$8</f>
        <v>16</v>
      </c>
      <c r="T4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49">
        <f>IF(event_tree[[#This Row],[fire_location]]="Apartment",Inputs!$F$12,Inputs!$F$11)</f>
        <v>600</v>
      </c>
      <c r="V49">
        <f>10+Inputs!$F$8</f>
        <v>16</v>
      </c>
      <c r="W49">
        <f>30</f>
        <v>30</v>
      </c>
      <c r="X49" t="str">
        <f>IF(event_tree[[#This Row],[ASET_scenario]]="X","extinguish",
   event_tree[[#This Row],[SOU_tdet]] + event_tree[[#This Row],[SOU_tpre]] + event_tree[[#This Row],[tnot]])</f>
        <v>extinguish</v>
      </c>
      <c r="Y49" t="str">
        <f>IF(event_tree[[#This Row],[ASET_scenario]]="X","extinguish",
   event_tree[[#This Row],[SOU_inside_RSET]] + event_tree[[#This Row],[SOU_ttrav]])</f>
        <v>extinguish</v>
      </c>
      <c r="Z4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49" t="str">
        <f>IF(event_tree[[#This Row],[ASET_scenario]]="X","extinguish", event_tree[[#This Row],[apt_ASET]]/event_tree[[#This Row],[SOU_inside_RSET]])</f>
        <v>extinguish</v>
      </c>
      <c r="AB49" t="str">
        <f>IF(event_tree[[#This Row],[ASET_scenario]]="X","extinguish",event_tree[[#This Row],[cor_ASET]]/event_tree[[#This Row],[SOU_outside_RSET]])</f>
        <v>extinguish</v>
      </c>
      <c r="AC49" t="str">
        <f>IF(event_tree[[#This Row],[ASET_scenario]]="X","extinguish",event_tree[[#This Row],[cor_ASET]]/event_tree[[#This Row],[remote_RSET]])</f>
        <v>extinguish</v>
      </c>
      <c r="AD49" t="b">
        <f>IF(OR(event_tree[[#This Row],[SOU_inside_ratio]]&lt;1,event_tree[[#This Row],[SOU_outside_ratio]]&lt;1),2)</f>
        <v>0</v>
      </c>
      <c r="AE49" t="b">
        <f>IF(event_tree[[#This Row],[remote_ratio]]&lt;1,2*(Inputs!$F$5-1))</f>
        <v>0</v>
      </c>
      <c r="AF49">
        <f>event_tree[[#This Row],[SOU_casualty]]+event_tree[[#This Row],[remote_casualty]]</f>
        <v>0</v>
      </c>
      <c r="AG49">
        <f>event_tree[[#This Row],[fire_frequency]]*event_tree[[#This Row],[probability_of_scenario]]</f>
        <v>9.4374156239999984E-5</v>
      </c>
      <c r="AH49">
        <f>event_tree[[#This Row],[total_casualty]]*event_tree[[#This Row],[fire_probability]]</f>
        <v>0</v>
      </c>
    </row>
    <row r="50" spans="1:34" x14ac:dyDescent="0.25">
      <c r="A50">
        <v>49</v>
      </c>
      <c r="B50" t="str" cm="1">
        <f t="array" ref="B5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0" t="str" cm="1">
        <f t="array" ref="C5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0" t="str" cm="1">
        <f t="array" ref="D5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0" t="str" cm="1">
        <f t="array" ref="E50">INDEX(sprinkler[sprinkler],
  1+MOD(QUOTIENT(ROW()-ROW($B$2),
     ROWS(manual_suppression[manual_suppression])*
     ROWS(door_open[door_open])*
     ROWS(smoke_seal[smoke_seal])
  ),
  ROWS(sprinkler[sprinkler]))
)</f>
        <v>Fail</v>
      </c>
      <c r="F50" t="str" cm="1">
        <f t="array" ref="F50">INDEX(manual_suppression[manual_suppression],
  1+MOD(QUOTIENT(ROW()-ROW($B$2),
     ROWS(door_open[door_open])*
     ROWS(smoke_seal[smoke_seal])
  ),
  ROWS(manual_suppression[manual_suppression]))
)</f>
        <v>Fail</v>
      </c>
      <c r="G50" t="str" cm="1">
        <f t="array" ref="G50">INDEX(door_open[door_open],
  1+MOD(QUOTIENT(ROW()-ROW($B$2),
     ROWS(smoke_seal[smoke_seal])
  ),
  ROWS(door_open[door_open]))
)</f>
        <v>Open</v>
      </c>
      <c r="H50" t="str" cm="1">
        <f t="array" ref="H50">INDEX(smoke_seal[smoke_seal],
  1+MOD(ROW()-ROW($B$2), ROWS(smoke_seal[smoke_seal]))
)</f>
        <v>Fail</v>
      </c>
      <c r="I50" t="str">
        <f>IF(event_tree[[#This Row],[door_open]]="Open","Open",IF(event_tree[[#This Row],[smoke_seal]]="Success","Close","Part"))</f>
        <v>Open</v>
      </c>
      <c r="J50">
        <f>IF(B50="apartment",Inputs!$I$7,Inputs!$I$6)</f>
        <v>7.7999999999999996E-3</v>
      </c>
      <c r="K50">
        <f>PRODUCT(
  INDEX(fire_location[Probability],MATCH($B50,fire_location[fire_location],0)),
  INDEX(smoke_detection_apt[Probability],MATCH($C50,smoke_detection_apt[smoke_detection_apt],0)),
  INDEX(smoke_detection_corridor[Probability],MATCH($D50,smoke_detection_corridor[smoke_detection_corridor],0)),
  INDEX(sprinkler[Probability],MATCH($E50,sprinkler[sprinkler],0)),
  INDEX(manual_suppression[Probability],MATCH($F50,manual_suppression[manual_suppression],0)),
  INDEX(door_open[Probability],MATCH($G50,door_open[door_open],0)),
  INDEX(smoke_seal[Probability],MATCH($H50,smoke_seal[smoke_seal],0))
)</f>
        <v>3.1322024999999999E-4</v>
      </c>
      <c r="L5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A</v>
      </c>
      <c r="M50" t="str">
        <f>event_tree[[#This Row],[ASET_scenario]]&amp;Inputs!$F$8</f>
        <v>A6</v>
      </c>
      <c r="N50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50">
        <f>IF(OR(event_tree[[#This Row],[sprinkler]]="Extinguish",event_tree[[#This Row],[manual_suppression]]="Suppress"),"extinguish",_xlfn.XLOOKUP(event_tree[[#This Row],[ASET_helper1]],ASET_data[ASET_helper1],ASET_data[cor_ASET]))</f>
        <v>92</v>
      </c>
      <c r="P50" t="str">
        <f>event_tree[[#This Row],[fire_location]]&amp;Inputs!$F$8</f>
        <v>Apartment6</v>
      </c>
      <c r="Q5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</v>
      </c>
      <c r="R50">
        <f>IF(event_tree[[#This Row],[fire_location]]="Apartment",Inputs!$F$11,Inputs!$F$12)</f>
        <v>60</v>
      </c>
      <c r="S50">
        <f>10+Inputs!$F$8</f>
        <v>16</v>
      </c>
      <c r="T5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</v>
      </c>
      <c r="U50">
        <f>IF(event_tree[[#This Row],[fire_location]]="Apartment",Inputs!$F$12,Inputs!$F$11)</f>
        <v>600</v>
      </c>
      <c r="V50">
        <f>10+Inputs!$F$8</f>
        <v>16</v>
      </c>
      <c r="W50">
        <f>30</f>
        <v>30</v>
      </c>
      <c r="X50">
        <f>IF(event_tree[[#This Row],[ASET_scenario]]="X","extinguish",
   event_tree[[#This Row],[SOU_tdet]] + event_tree[[#This Row],[SOU_tpre]] + event_tree[[#This Row],[tnot]])</f>
        <v>180</v>
      </c>
      <c r="Y50">
        <f>IF(event_tree[[#This Row],[ASET_scenario]]="X","extinguish",
   event_tree[[#This Row],[SOU_inside_RSET]] + event_tree[[#This Row],[SOU_ttrav]])</f>
        <v>196</v>
      </c>
      <c r="Z50">
        <f>IF(event_tree[[#This Row],[ASET_scenario]]="X","extinguish",
   event_tree[[#This Row],[remote_tdet]] + event_tree[[#This Row],[remote_tpre]] + event_tree[[#This Row],[remote_ttrav]] + event_tree[[#This Row],[tnot]])</f>
        <v>736</v>
      </c>
      <c r="AA50">
        <f>IF(event_tree[[#This Row],[ASET_scenario]]="X","extinguish", event_tree[[#This Row],[apt_ASET]]/event_tree[[#This Row],[SOU_inside_RSET]])</f>
        <v>0.35</v>
      </c>
      <c r="AB50">
        <f>IF(event_tree[[#This Row],[ASET_scenario]]="X","extinguish",event_tree[[#This Row],[cor_ASET]]/event_tree[[#This Row],[SOU_outside_RSET]])</f>
        <v>0.46938775510204084</v>
      </c>
      <c r="AC50">
        <f>IF(event_tree[[#This Row],[ASET_scenario]]="X","extinguish",event_tree[[#This Row],[cor_ASET]]/event_tree[[#This Row],[remote_RSET]])</f>
        <v>0.125</v>
      </c>
      <c r="AD50">
        <f>IF(OR(event_tree[[#This Row],[SOU_inside_ratio]]&lt;1,event_tree[[#This Row],[SOU_outside_ratio]]&lt;1),2)</f>
        <v>2</v>
      </c>
      <c r="AE50">
        <f>IF(event_tree[[#This Row],[remote_ratio]]&lt;1,2*(Inputs!$F$5-1))</f>
        <v>10</v>
      </c>
      <c r="AF50">
        <f>event_tree[[#This Row],[SOU_casualty]]+event_tree[[#This Row],[remote_casualty]]</f>
        <v>12</v>
      </c>
      <c r="AG50">
        <f>event_tree[[#This Row],[fire_frequency]]*event_tree[[#This Row],[probability_of_scenario]]</f>
        <v>2.4431179499999996E-6</v>
      </c>
      <c r="AH50">
        <f>event_tree[[#This Row],[total_casualty]]*event_tree[[#This Row],[fire_probability]]</f>
        <v>2.9317415399999996E-5</v>
      </c>
    </row>
    <row r="51" spans="1:34" x14ac:dyDescent="0.25">
      <c r="A51">
        <v>50</v>
      </c>
      <c r="B51" t="str" cm="1">
        <f t="array" ref="B5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1" t="str" cm="1">
        <f t="array" ref="C5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1" t="str" cm="1">
        <f t="array" ref="D5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1" t="str" cm="1">
        <f t="array" ref="E51">INDEX(sprinkler[sprinkler],
  1+MOD(QUOTIENT(ROW()-ROW($B$2),
     ROWS(manual_suppression[manual_suppression])*
     ROWS(door_open[door_open])*
     ROWS(smoke_seal[smoke_seal])
  ),
  ROWS(sprinkler[sprinkler]))
)</f>
        <v>Fail</v>
      </c>
      <c r="F51" t="str" cm="1">
        <f t="array" ref="F51">INDEX(manual_suppression[manual_suppression],
  1+MOD(QUOTIENT(ROW()-ROW($B$2),
     ROWS(door_open[door_open])*
     ROWS(smoke_seal[smoke_seal])
  ),
  ROWS(manual_suppression[manual_suppression]))
)</f>
        <v>Fail</v>
      </c>
      <c r="G51" t="str" cm="1">
        <f t="array" ref="G51">INDEX(door_open[door_open],
  1+MOD(QUOTIENT(ROW()-ROW($B$2),
     ROWS(smoke_seal[smoke_seal])
  ),
  ROWS(door_open[door_open]))
)</f>
        <v>Open</v>
      </c>
      <c r="H51" t="str" cm="1">
        <f t="array" ref="H51">INDEX(smoke_seal[smoke_seal],
  1+MOD(ROW()-ROW($B$2), ROWS(smoke_seal[smoke_seal]))
)</f>
        <v>Success</v>
      </c>
      <c r="I51" t="str">
        <f>IF(event_tree[[#This Row],[door_open]]="Open","Open",IF(event_tree[[#This Row],[smoke_seal]]="Success","Close","Part"))</f>
        <v>Open</v>
      </c>
      <c r="J51">
        <f>IF(B51="apartment",Inputs!$I$7,Inputs!$I$6)</f>
        <v>7.7999999999999996E-3</v>
      </c>
      <c r="K51">
        <f>PRODUCT(
  INDEX(fire_location[Probability],MATCH($B51,fire_location[fire_location],0)),
  INDEX(smoke_detection_apt[Probability],MATCH($C51,smoke_detection_apt[smoke_detection_apt],0)),
  INDEX(smoke_detection_corridor[Probability],MATCH($D51,smoke_detection_corridor[smoke_detection_corridor],0)),
  INDEX(sprinkler[Probability],MATCH($E51,sprinkler[sprinkler],0)),
  INDEX(manual_suppression[Probability],MATCH($F51,manual_suppression[manual_suppression],0)),
  INDEX(door_open[Probability],MATCH($G51,door_open[door_open],0)),
  INDEX(smoke_seal[Probability],MATCH($H51,smoke_seal[smoke_seal],0))
)</f>
        <v>5.8169475000000004E-4</v>
      </c>
      <c r="L5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A</v>
      </c>
      <c r="M51" t="str">
        <f>event_tree[[#This Row],[ASET_scenario]]&amp;Inputs!$F$8</f>
        <v>A6</v>
      </c>
      <c r="N51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51">
        <f>IF(OR(event_tree[[#This Row],[sprinkler]]="Extinguish",event_tree[[#This Row],[manual_suppression]]="Suppress"),"extinguish",_xlfn.XLOOKUP(event_tree[[#This Row],[ASET_helper1]],ASET_data[ASET_helper1],ASET_data[cor_ASET]))</f>
        <v>92</v>
      </c>
      <c r="P51" t="str">
        <f>event_tree[[#This Row],[fire_location]]&amp;Inputs!$F$8</f>
        <v>Apartment6</v>
      </c>
      <c r="Q5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</v>
      </c>
      <c r="R51">
        <f>IF(event_tree[[#This Row],[fire_location]]="Apartment",Inputs!$F$11,Inputs!$F$12)</f>
        <v>60</v>
      </c>
      <c r="S51">
        <f>10+Inputs!$F$8</f>
        <v>16</v>
      </c>
      <c r="T5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</v>
      </c>
      <c r="U51">
        <f>IF(event_tree[[#This Row],[fire_location]]="Apartment",Inputs!$F$12,Inputs!$F$11)</f>
        <v>600</v>
      </c>
      <c r="V51">
        <f>10+Inputs!$F$8</f>
        <v>16</v>
      </c>
      <c r="W51">
        <f>30</f>
        <v>30</v>
      </c>
      <c r="X51">
        <f>IF(event_tree[[#This Row],[ASET_scenario]]="X","extinguish",
   event_tree[[#This Row],[SOU_tdet]] + event_tree[[#This Row],[SOU_tpre]] + event_tree[[#This Row],[tnot]])</f>
        <v>180</v>
      </c>
      <c r="Y51">
        <f>IF(event_tree[[#This Row],[ASET_scenario]]="X","extinguish",
   event_tree[[#This Row],[SOU_inside_RSET]] + event_tree[[#This Row],[SOU_ttrav]])</f>
        <v>196</v>
      </c>
      <c r="Z51">
        <f>IF(event_tree[[#This Row],[ASET_scenario]]="X","extinguish",
   event_tree[[#This Row],[remote_tdet]] + event_tree[[#This Row],[remote_tpre]] + event_tree[[#This Row],[remote_ttrav]] + event_tree[[#This Row],[tnot]])</f>
        <v>736</v>
      </c>
      <c r="AA51">
        <f>IF(event_tree[[#This Row],[ASET_scenario]]="X","extinguish", event_tree[[#This Row],[apt_ASET]]/event_tree[[#This Row],[SOU_inside_RSET]])</f>
        <v>0.35</v>
      </c>
      <c r="AB51">
        <f>IF(event_tree[[#This Row],[ASET_scenario]]="X","extinguish",event_tree[[#This Row],[cor_ASET]]/event_tree[[#This Row],[SOU_outside_RSET]])</f>
        <v>0.46938775510204084</v>
      </c>
      <c r="AC51">
        <f>IF(event_tree[[#This Row],[ASET_scenario]]="X","extinguish",event_tree[[#This Row],[cor_ASET]]/event_tree[[#This Row],[remote_RSET]])</f>
        <v>0.125</v>
      </c>
      <c r="AD51">
        <f>IF(OR(event_tree[[#This Row],[SOU_inside_ratio]]&lt;1,event_tree[[#This Row],[SOU_outside_ratio]]&lt;1),2)</f>
        <v>2</v>
      </c>
      <c r="AE51">
        <f>IF(event_tree[[#This Row],[remote_ratio]]&lt;1,2*(Inputs!$F$5-1))</f>
        <v>10</v>
      </c>
      <c r="AF51">
        <f>event_tree[[#This Row],[SOU_casualty]]+event_tree[[#This Row],[remote_casualty]]</f>
        <v>12</v>
      </c>
      <c r="AG51">
        <f>event_tree[[#This Row],[fire_frequency]]*event_tree[[#This Row],[probability_of_scenario]]</f>
        <v>4.5372190499999998E-6</v>
      </c>
      <c r="AH51">
        <f>event_tree[[#This Row],[total_casualty]]*event_tree[[#This Row],[fire_probability]]</f>
        <v>5.4446628600000001E-5</v>
      </c>
    </row>
    <row r="52" spans="1:34" x14ac:dyDescent="0.25">
      <c r="A52">
        <v>51</v>
      </c>
      <c r="B52" t="str" cm="1">
        <f t="array" ref="B5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2" t="str" cm="1">
        <f t="array" ref="C5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2" t="str" cm="1">
        <f t="array" ref="D5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2" t="str" cm="1">
        <f t="array" ref="E52">INDEX(sprinkler[sprinkler],
  1+MOD(QUOTIENT(ROW()-ROW($B$2),
     ROWS(manual_suppression[manual_suppression])*
     ROWS(door_open[door_open])*
     ROWS(smoke_seal[smoke_seal])
  ),
  ROWS(sprinkler[sprinkler]))
)</f>
        <v>Fail</v>
      </c>
      <c r="F52" t="str" cm="1">
        <f t="array" ref="F52">INDEX(manual_suppression[manual_suppression],
  1+MOD(QUOTIENT(ROW()-ROW($B$2),
     ROWS(door_open[door_open])*
     ROWS(smoke_seal[smoke_seal])
  ),
  ROWS(manual_suppression[manual_suppression]))
)</f>
        <v>Fail</v>
      </c>
      <c r="G52" t="str" cm="1">
        <f t="array" ref="G52">INDEX(door_open[door_open],
  1+MOD(QUOTIENT(ROW()-ROW($B$2),
     ROWS(smoke_seal[smoke_seal])
  ),
  ROWS(door_open[door_open]))
)</f>
        <v>Closed</v>
      </c>
      <c r="H52" t="str" cm="1">
        <f t="array" ref="H52">INDEX(smoke_seal[smoke_seal],
  1+MOD(ROW()-ROW($B$2), ROWS(smoke_seal[smoke_seal]))
)</f>
        <v>Fail</v>
      </c>
      <c r="I52" t="str">
        <f>IF(event_tree[[#This Row],[door_open]]="Open","Open",IF(event_tree[[#This Row],[smoke_seal]]="Success","Close","Part"))</f>
        <v>Part</v>
      </c>
      <c r="J52">
        <f>IF(B52="apartment",Inputs!$I$7,Inputs!$I$6)</f>
        <v>7.7999999999999996E-3</v>
      </c>
      <c r="K52">
        <f>PRODUCT(
  INDEX(fire_location[Probability],MATCH($B52,fire_location[fire_location],0)),
  INDEX(smoke_detection_apt[Probability],MATCH($C52,smoke_detection_apt[smoke_detection_apt],0)),
  INDEX(smoke_detection_corridor[Probability],MATCH($D52,smoke_detection_corridor[smoke_detection_corridor],0)),
  INDEX(sprinkler[Probability],MATCH($E52,sprinkler[sprinkler],0)),
  INDEX(manual_suppression[Probability],MATCH($F52,manual_suppression[manual_suppression],0)),
  INDEX(door_open[Probability],MATCH($G52,door_open[door_open],0)),
  INDEX(smoke_seal[Probability],MATCH($H52,smoke_seal[smoke_seal],0))
)</f>
        <v>7.3084724999999994E-4</v>
      </c>
      <c r="L5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C</v>
      </c>
      <c r="M52" t="str">
        <f>event_tree[[#This Row],[ASET_scenario]]&amp;Inputs!$F$8</f>
        <v>C6</v>
      </c>
      <c r="N52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52">
        <f>IF(OR(event_tree[[#This Row],[sprinkler]]="Extinguish",event_tree[[#This Row],[manual_suppression]]="Suppress"),"extinguish",_xlfn.XLOOKUP(event_tree[[#This Row],[ASET_helper1]],ASET_data[ASET_helper1],ASET_data[cor_ASET]))</f>
        <v>125</v>
      </c>
      <c r="P52" t="str">
        <f>event_tree[[#This Row],[fire_location]]&amp;Inputs!$F$8</f>
        <v>Apartment6</v>
      </c>
      <c r="Q5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108</v>
      </c>
      <c r="R52">
        <f>IF(event_tree[[#This Row],[fire_location]]="Apartment",Inputs!$F$11,Inputs!$F$12)</f>
        <v>60</v>
      </c>
      <c r="S52">
        <f>10+Inputs!$F$8</f>
        <v>16</v>
      </c>
      <c r="T5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108</v>
      </c>
      <c r="U52">
        <f>IF(event_tree[[#This Row],[fire_location]]="Apartment",Inputs!$F$12,Inputs!$F$11)</f>
        <v>600</v>
      </c>
      <c r="V52">
        <f>10+Inputs!$F$8</f>
        <v>16</v>
      </c>
      <c r="W52">
        <f>30</f>
        <v>30</v>
      </c>
      <c r="X52">
        <f>IF(event_tree[[#This Row],[ASET_scenario]]="X","extinguish",
   event_tree[[#This Row],[SOU_tdet]] + event_tree[[#This Row],[SOU_tpre]] + event_tree[[#This Row],[tnot]])</f>
        <v>198</v>
      </c>
      <c r="Y52">
        <f>IF(event_tree[[#This Row],[ASET_scenario]]="X","extinguish",
   event_tree[[#This Row],[SOU_inside_RSET]] + event_tree[[#This Row],[SOU_ttrav]])</f>
        <v>214</v>
      </c>
      <c r="Z52">
        <f>IF(event_tree[[#This Row],[ASET_scenario]]="X","extinguish",
   event_tree[[#This Row],[remote_tdet]] + event_tree[[#This Row],[remote_tpre]] + event_tree[[#This Row],[remote_ttrav]] + event_tree[[#This Row],[tnot]])</f>
        <v>754</v>
      </c>
      <c r="AA52">
        <f>IF(event_tree[[#This Row],[ASET_scenario]]="X","extinguish", event_tree[[#This Row],[apt_ASET]]/event_tree[[#This Row],[SOU_inside_RSET]])</f>
        <v>0.31818181818181818</v>
      </c>
      <c r="AB52">
        <f>IF(event_tree[[#This Row],[ASET_scenario]]="X","extinguish",event_tree[[#This Row],[cor_ASET]]/event_tree[[#This Row],[SOU_outside_RSET]])</f>
        <v>0.58411214953271029</v>
      </c>
      <c r="AC52">
        <f>IF(event_tree[[#This Row],[ASET_scenario]]="X","extinguish",event_tree[[#This Row],[cor_ASET]]/event_tree[[#This Row],[remote_RSET]])</f>
        <v>0.16578249336870027</v>
      </c>
      <c r="AD52">
        <f>IF(OR(event_tree[[#This Row],[SOU_inside_ratio]]&lt;1,event_tree[[#This Row],[SOU_outside_ratio]]&lt;1),2)</f>
        <v>2</v>
      </c>
      <c r="AE52">
        <f>IF(event_tree[[#This Row],[remote_ratio]]&lt;1,2*(Inputs!$F$5-1))</f>
        <v>10</v>
      </c>
      <c r="AF52">
        <f>event_tree[[#This Row],[SOU_casualty]]+event_tree[[#This Row],[remote_casualty]]</f>
        <v>12</v>
      </c>
      <c r="AG52">
        <f>event_tree[[#This Row],[fire_frequency]]*event_tree[[#This Row],[probability_of_scenario]]</f>
        <v>5.7006085499999991E-6</v>
      </c>
      <c r="AH52">
        <f>event_tree[[#This Row],[total_casualty]]*event_tree[[#This Row],[fire_probability]]</f>
        <v>6.8407302599999986E-5</v>
      </c>
    </row>
    <row r="53" spans="1:34" x14ac:dyDescent="0.25">
      <c r="A53">
        <v>52</v>
      </c>
      <c r="B53" t="str" cm="1">
        <f t="array" ref="B5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3" t="str" cm="1">
        <f t="array" ref="C5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3" t="str" cm="1">
        <f t="array" ref="D5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3" t="str" cm="1">
        <f t="array" ref="E53">INDEX(sprinkler[sprinkler],
  1+MOD(QUOTIENT(ROW()-ROW($B$2),
     ROWS(manual_suppression[manual_suppression])*
     ROWS(door_open[door_open])*
     ROWS(smoke_seal[smoke_seal])
  ),
  ROWS(sprinkler[sprinkler]))
)</f>
        <v>Fail</v>
      </c>
      <c r="F53" t="str" cm="1">
        <f t="array" ref="F53">INDEX(manual_suppression[manual_suppression],
  1+MOD(QUOTIENT(ROW()-ROW($B$2),
     ROWS(door_open[door_open])*
     ROWS(smoke_seal[smoke_seal])
  ),
  ROWS(manual_suppression[manual_suppression]))
)</f>
        <v>Fail</v>
      </c>
      <c r="G53" t="str" cm="1">
        <f t="array" ref="G53">INDEX(door_open[door_open],
  1+MOD(QUOTIENT(ROW()-ROW($B$2),
     ROWS(smoke_seal[smoke_seal])
  ),
  ROWS(door_open[door_open]))
)</f>
        <v>Closed</v>
      </c>
      <c r="H53" t="str" cm="1">
        <f t="array" ref="H53">INDEX(smoke_seal[smoke_seal],
  1+MOD(ROW()-ROW($B$2), ROWS(smoke_seal[smoke_seal]))
)</f>
        <v>Success</v>
      </c>
      <c r="I53" t="str">
        <f>IF(event_tree[[#This Row],[door_open]]="Open","Open",IF(event_tree[[#This Row],[smoke_seal]]="Success","Close","Part"))</f>
        <v>Close</v>
      </c>
      <c r="J53">
        <f>IF(B53="apartment",Inputs!$I$7,Inputs!$I$6)</f>
        <v>7.7999999999999996E-3</v>
      </c>
      <c r="K53">
        <f>PRODUCT(
  INDEX(fire_location[Probability],MATCH($B53,fire_location[fire_location],0)),
  INDEX(smoke_detection_apt[Probability],MATCH($C53,smoke_detection_apt[smoke_detection_apt],0)),
  INDEX(smoke_detection_corridor[Probability],MATCH($D53,smoke_detection_corridor[smoke_detection_corridor],0)),
  INDEX(sprinkler[Probability],MATCH($E53,sprinkler[sprinkler],0)),
  INDEX(manual_suppression[Probability],MATCH($F53,manual_suppression[manual_suppression],0)),
  INDEX(door_open[Probability],MATCH($G53,door_open[door_open],0)),
  INDEX(smoke_seal[Probability],MATCH($H53,smoke_seal[smoke_seal],0))
)</f>
        <v>1.35728775E-3</v>
      </c>
      <c r="L5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B</v>
      </c>
      <c r="M53" t="str">
        <f>event_tree[[#This Row],[ASET_scenario]]&amp;Inputs!$F$8</f>
        <v>B6</v>
      </c>
      <c r="N53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53">
        <f>IF(OR(event_tree[[#This Row],[sprinkler]]="Extinguish",event_tree[[#This Row],[manual_suppression]]="Suppress"),"extinguish",_xlfn.XLOOKUP(event_tree[[#This Row],[ASET_helper1]],ASET_data[ASET_helper1],ASET_data[cor_ASET]))</f>
        <v>3600</v>
      </c>
      <c r="P53" t="str">
        <f>event_tree[[#This Row],[fire_location]]&amp;Inputs!$F$8</f>
        <v>Apartment6</v>
      </c>
      <c r="Q5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337</v>
      </c>
      <c r="R53">
        <f>IF(event_tree[[#This Row],[fire_location]]="Apartment",Inputs!$F$11,Inputs!$F$12)</f>
        <v>60</v>
      </c>
      <c r="S53">
        <f>10+Inputs!$F$8</f>
        <v>16</v>
      </c>
      <c r="T5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53">
        <f>IF(event_tree[[#This Row],[fire_location]]="Apartment",Inputs!$F$12,Inputs!$F$11)</f>
        <v>600</v>
      </c>
      <c r="V53">
        <f>10+Inputs!$F$8</f>
        <v>16</v>
      </c>
      <c r="W53">
        <f>30</f>
        <v>30</v>
      </c>
      <c r="X53">
        <f>IF(event_tree[[#This Row],[ASET_scenario]]="X","extinguish",
   event_tree[[#This Row],[SOU_tdet]] + event_tree[[#This Row],[SOU_tpre]] + event_tree[[#This Row],[tnot]])</f>
        <v>427</v>
      </c>
      <c r="Y53">
        <f>IF(event_tree[[#This Row],[ASET_scenario]]="X","extinguish",
   event_tree[[#This Row],[SOU_inside_RSET]] + event_tree[[#This Row],[SOU_ttrav]])</f>
        <v>443</v>
      </c>
      <c r="Z53">
        <f>IF(event_tree[[#This Row],[ASET_scenario]]="X","extinguish",
   event_tree[[#This Row],[remote_tdet]] + event_tree[[#This Row],[remote_tpre]] + event_tree[[#This Row],[remote_ttrav]] + event_tree[[#This Row],[tnot]])</f>
        <v>983</v>
      </c>
      <c r="AA53">
        <f>IF(event_tree[[#This Row],[ASET_scenario]]="X","extinguish", event_tree[[#This Row],[apt_ASET]]/event_tree[[#This Row],[SOU_inside_RSET]])</f>
        <v>0.14754098360655737</v>
      </c>
      <c r="AB53">
        <f>IF(event_tree[[#This Row],[ASET_scenario]]="X","extinguish",event_tree[[#This Row],[cor_ASET]]/event_tree[[#This Row],[SOU_outside_RSET]])</f>
        <v>8.1264108352144468</v>
      </c>
      <c r="AC53">
        <f>IF(event_tree[[#This Row],[ASET_scenario]]="X","extinguish",event_tree[[#This Row],[cor_ASET]]/event_tree[[#This Row],[remote_RSET]])</f>
        <v>3.6622583926754833</v>
      </c>
      <c r="AD53">
        <f>IF(OR(event_tree[[#This Row],[SOU_inside_ratio]]&lt;1,event_tree[[#This Row],[SOU_outside_ratio]]&lt;1),2)</f>
        <v>2</v>
      </c>
      <c r="AE53" t="b">
        <f>IF(event_tree[[#This Row],[remote_ratio]]&lt;1,2*(Inputs!$F$5-1))</f>
        <v>0</v>
      </c>
      <c r="AF53">
        <f>event_tree[[#This Row],[SOU_casualty]]+event_tree[[#This Row],[remote_casualty]]</f>
        <v>2</v>
      </c>
      <c r="AG53">
        <f>event_tree[[#This Row],[fire_frequency]]*event_tree[[#This Row],[probability_of_scenario]]</f>
        <v>1.0586844449999999E-5</v>
      </c>
      <c r="AH53">
        <f>event_tree[[#This Row],[total_casualty]]*event_tree[[#This Row],[fire_probability]]</f>
        <v>2.1173688899999999E-5</v>
      </c>
    </row>
    <row r="54" spans="1:34" x14ac:dyDescent="0.25">
      <c r="A54">
        <v>53</v>
      </c>
      <c r="B54" t="str" cm="1">
        <f t="array" ref="B5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4" t="str" cm="1">
        <f t="array" ref="C5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4" t="str" cm="1">
        <f t="array" ref="D5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4" t="str" cm="1">
        <f t="array" ref="E54">INDEX(sprinkler[sprinkler],
  1+MOD(QUOTIENT(ROW()-ROW($B$2),
     ROWS(manual_suppression[manual_suppression])*
     ROWS(door_open[door_open])*
     ROWS(smoke_seal[smoke_seal])
  ),
  ROWS(sprinkler[sprinkler]))
)</f>
        <v>Fail</v>
      </c>
      <c r="F54" t="str" cm="1">
        <f t="array" ref="F54">INDEX(manual_suppression[manual_suppression],
  1+MOD(QUOTIENT(ROW()-ROW($B$2),
     ROWS(door_open[door_open])*
     ROWS(smoke_seal[smoke_seal])
  ),
  ROWS(manual_suppression[manual_suppression]))
)</f>
        <v>Suppress</v>
      </c>
      <c r="G54" t="str" cm="1">
        <f t="array" ref="G54">INDEX(door_open[door_open],
  1+MOD(QUOTIENT(ROW()-ROW($B$2),
     ROWS(smoke_seal[smoke_seal])
  ),
  ROWS(door_open[door_open]))
)</f>
        <v>Open</v>
      </c>
      <c r="H54" t="str" cm="1">
        <f t="array" ref="H54">INDEX(smoke_seal[smoke_seal],
  1+MOD(ROW()-ROW($B$2), ROWS(smoke_seal[smoke_seal]))
)</f>
        <v>Fail</v>
      </c>
      <c r="I54" t="str">
        <f>IF(event_tree[[#This Row],[door_open]]="Open","Open",IF(event_tree[[#This Row],[smoke_seal]]="Success","Close","Part"))</f>
        <v>Open</v>
      </c>
      <c r="J54">
        <f>IF(B54="apartment",Inputs!$I$7,Inputs!$I$6)</f>
        <v>7.7999999999999996E-3</v>
      </c>
      <c r="K54">
        <f>PRODUCT(
  INDEX(fire_location[Probability],MATCH($B54,fire_location[fire_location],0)),
  INDEX(smoke_detection_apt[Probability],MATCH($C54,smoke_detection_apt[smoke_detection_apt],0)),
  INDEX(smoke_detection_corridor[Probability],MATCH($D54,smoke_detection_corridor[smoke_detection_corridor],0)),
  INDEX(sprinkler[Probability],MATCH($E54,sprinkler[sprinkler],0)),
  INDEX(manual_suppression[Probability],MATCH($F54,manual_suppression[manual_suppression],0)),
  INDEX(door_open[Probability],MATCH($G54,door_open[door_open],0)),
  INDEX(smoke_seal[Probability],MATCH($H54,smoke_seal[smoke_seal],0))
)</f>
        <v>5.8169475000000004E-4</v>
      </c>
      <c r="L5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54" t="str">
        <f>event_tree[[#This Row],[ASET_scenario]]&amp;Inputs!$F$8</f>
        <v>X6</v>
      </c>
      <c r="N5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5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54" t="str">
        <f>event_tree[[#This Row],[fire_location]]&amp;Inputs!$F$8</f>
        <v>Apartment6</v>
      </c>
      <c r="Q5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54">
        <f>IF(event_tree[[#This Row],[fire_location]]="Apartment",Inputs!$F$11,Inputs!$F$12)</f>
        <v>60</v>
      </c>
      <c r="S54">
        <f>10+Inputs!$F$8</f>
        <v>16</v>
      </c>
      <c r="T5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54">
        <f>IF(event_tree[[#This Row],[fire_location]]="Apartment",Inputs!$F$12,Inputs!$F$11)</f>
        <v>600</v>
      </c>
      <c r="V54">
        <f>10+Inputs!$F$8</f>
        <v>16</v>
      </c>
      <c r="W54">
        <f>30</f>
        <v>30</v>
      </c>
      <c r="X54" t="str">
        <f>IF(event_tree[[#This Row],[ASET_scenario]]="X","extinguish",
   event_tree[[#This Row],[SOU_tdet]] + event_tree[[#This Row],[SOU_tpre]] + event_tree[[#This Row],[tnot]])</f>
        <v>extinguish</v>
      </c>
      <c r="Y54" t="str">
        <f>IF(event_tree[[#This Row],[ASET_scenario]]="X","extinguish",
   event_tree[[#This Row],[SOU_inside_RSET]] + event_tree[[#This Row],[SOU_ttrav]])</f>
        <v>extinguish</v>
      </c>
      <c r="Z5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54" t="str">
        <f>IF(event_tree[[#This Row],[ASET_scenario]]="X","extinguish", event_tree[[#This Row],[apt_ASET]]/event_tree[[#This Row],[SOU_inside_RSET]])</f>
        <v>extinguish</v>
      </c>
      <c r="AB54" t="str">
        <f>IF(event_tree[[#This Row],[ASET_scenario]]="X","extinguish",event_tree[[#This Row],[cor_ASET]]/event_tree[[#This Row],[SOU_outside_RSET]])</f>
        <v>extinguish</v>
      </c>
      <c r="AC54" t="str">
        <f>IF(event_tree[[#This Row],[ASET_scenario]]="X","extinguish",event_tree[[#This Row],[cor_ASET]]/event_tree[[#This Row],[remote_RSET]])</f>
        <v>extinguish</v>
      </c>
      <c r="AD54" t="b">
        <f>IF(OR(event_tree[[#This Row],[SOU_inside_ratio]]&lt;1,event_tree[[#This Row],[SOU_outside_ratio]]&lt;1),2)</f>
        <v>0</v>
      </c>
      <c r="AE54" t="b">
        <f>IF(event_tree[[#This Row],[remote_ratio]]&lt;1,2*(Inputs!$F$5-1))</f>
        <v>0</v>
      </c>
      <c r="AF54">
        <f>event_tree[[#This Row],[SOU_casualty]]+event_tree[[#This Row],[remote_casualty]]</f>
        <v>0</v>
      </c>
      <c r="AG54">
        <f>event_tree[[#This Row],[fire_frequency]]*event_tree[[#This Row],[probability_of_scenario]]</f>
        <v>4.5372190499999998E-6</v>
      </c>
      <c r="AH54">
        <f>event_tree[[#This Row],[total_casualty]]*event_tree[[#This Row],[fire_probability]]</f>
        <v>0</v>
      </c>
    </row>
    <row r="55" spans="1:34" x14ac:dyDescent="0.25">
      <c r="A55">
        <v>54</v>
      </c>
      <c r="B55" t="str" cm="1">
        <f t="array" ref="B5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5" t="str" cm="1">
        <f t="array" ref="C5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5" t="str" cm="1">
        <f t="array" ref="D5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5" t="str" cm="1">
        <f t="array" ref="E55">INDEX(sprinkler[sprinkler],
  1+MOD(QUOTIENT(ROW()-ROW($B$2),
     ROWS(manual_suppression[manual_suppression])*
     ROWS(door_open[door_open])*
     ROWS(smoke_seal[smoke_seal])
  ),
  ROWS(sprinkler[sprinkler]))
)</f>
        <v>Fail</v>
      </c>
      <c r="F55" t="str" cm="1">
        <f t="array" ref="F55">INDEX(manual_suppression[manual_suppression],
  1+MOD(QUOTIENT(ROW()-ROW($B$2),
     ROWS(door_open[door_open])*
     ROWS(smoke_seal[smoke_seal])
  ),
  ROWS(manual_suppression[manual_suppression]))
)</f>
        <v>Suppress</v>
      </c>
      <c r="G55" t="str" cm="1">
        <f t="array" ref="G55">INDEX(door_open[door_open],
  1+MOD(QUOTIENT(ROW()-ROW($B$2),
     ROWS(smoke_seal[smoke_seal])
  ),
  ROWS(door_open[door_open]))
)</f>
        <v>Open</v>
      </c>
      <c r="H55" t="str" cm="1">
        <f t="array" ref="H55">INDEX(smoke_seal[smoke_seal],
  1+MOD(ROW()-ROW($B$2), ROWS(smoke_seal[smoke_seal]))
)</f>
        <v>Success</v>
      </c>
      <c r="I55" t="str">
        <f>IF(event_tree[[#This Row],[door_open]]="Open","Open",IF(event_tree[[#This Row],[smoke_seal]]="Success","Close","Part"))</f>
        <v>Open</v>
      </c>
      <c r="J55">
        <f>IF(B55="apartment",Inputs!$I$7,Inputs!$I$6)</f>
        <v>7.7999999999999996E-3</v>
      </c>
      <c r="K55">
        <f>PRODUCT(
  INDEX(fire_location[Probability],MATCH($B55,fire_location[fire_location],0)),
  INDEX(smoke_detection_apt[Probability],MATCH($C55,smoke_detection_apt[smoke_detection_apt],0)),
  INDEX(smoke_detection_corridor[Probability],MATCH($D55,smoke_detection_corridor[smoke_detection_corridor],0)),
  INDEX(sprinkler[Probability],MATCH($E55,sprinkler[sprinkler],0)),
  INDEX(manual_suppression[Probability],MATCH($F55,manual_suppression[manual_suppression],0)),
  INDEX(door_open[Probability],MATCH($G55,door_open[door_open],0)),
  INDEX(smoke_seal[Probability],MATCH($H55,smoke_seal[smoke_seal],0))
)</f>
        <v>1.0802902500000001E-3</v>
      </c>
      <c r="L5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55" t="str">
        <f>event_tree[[#This Row],[ASET_scenario]]&amp;Inputs!$F$8</f>
        <v>X6</v>
      </c>
      <c r="N5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5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55" t="str">
        <f>event_tree[[#This Row],[fire_location]]&amp;Inputs!$F$8</f>
        <v>Apartment6</v>
      </c>
      <c r="Q5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55">
        <f>IF(event_tree[[#This Row],[fire_location]]="Apartment",Inputs!$F$11,Inputs!$F$12)</f>
        <v>60</v>
      </c>
      <c r="S55">
        <f>10+Inputs!$F$8</f>
        <v>16</v>
      </c>
      <c r="T5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55">
        <f>IF(event_tree[[#This Row],[fire_location]]="Apartment",Inputs!$F$12,Inputs!$F$11)</f>
        <v>600</v>
      </c>
      <c r="V55">
        <f>10+Inputs!$F$8</f>
        <v>16</v>
      </c>
      <c r="W55">
        <f>30</f>
        <v>30</v>
      </c>
      <c r="X55" t="str">
        <f>IF(event_tree[[#This Row],[ASET_scenario]]="X","extinguish",
   event_tree[[#This Row],[SOU_tdet]] + event_tree[[#This Row],[SOU_tpre]] + event_tree[[#This Row],[tnot]])</f>
        <v>extinguish</v>
      </c>
      <c r="Y55" t="str">
        <f>IF(event_tree[[#This Row],[ASET_scenario]]="X","extinguish",
   event_tree[[#This Row],[SOU_inside_RSET]] + event_tree[[#This Row],[SOU_ttrav]])</f>
        <v>extinguish</v>
      </c>
      <c r="Z5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55" t="str">
        <f>IF(event_tree[[#This Row],[ASET_scenario]]="X","extinguish", event_tree[[#This Row],[apt_ASET]]/event_tree[[#This Row],[SOU_inside_RSET]])</f>
        <v>extinguish</v>
      </c>
      <c r="AB55" t="str">
        <f>IF(event_tree[[#This Row],[ASET_scenario]]="X","extinguish",event_tree[[#This Row],[cor_ASET]]/event_tree[[#This Row],[SOU_outside_RSET]])</f>
        <v>extinguish</v>
      </c>
      <c r="AC55" t="str">
        <f>IF(event_tree[[#This Row],[ASET_scenario]]="X","extinguish",event_tree[[#This Row],[cor_ASET]]/event_tree[[#This Row],[remote_RSET]])</f>
        <v>extinguish</v>
      </c>
      <c r="AD55" t="b">
        <f>IF(OR(event_tree[[#This Row],[SOU_inside_ratio]]&lt;1,event_tree[[#This Row],[SOU_outside_ratio]]&lt;1),2)</f>
        <v>0</v>
      </c>
      <c r="AE55" t="b">
        <f>IF(event_tree[[#This Row],[remote_ratio]]&lt;1,2*(Inputs!$F$5-1))</f>
        <v>0</v>
      </c>
      <c r="AF55">
        <f>event_tree[[#This Row],[SOU_casualty]]+event_tree[[#This Row],[remote_casualty]]</f>
        <v>0</v>
      </c>
      <c r="AG55">
        <f>event_tree[[#This Row],[fire_frequency]]*event_tree[[#This Row],[probability_of_scenario]]</f>
        <v>8.42626395E-6</v>
      </c>
      <c r="AH55">
        <f>event_tree[[#This Row],[total_casualty]]*event_tree[[#This Row],[fire_probability]]</f>
        <v>0</v>
      </c>
    </row>
    <row r="56" spans="1:34" x14ac:dyDescent="0.25">
      <c r="A56">
        <v>55</v>
      </c>
      <c r="B56" t="str" cm="1">
        <f t="array" ref="B5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6" t="str" cm="1">
        <f t="array" ref="C5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6" t="str" cm="1">
        <f t="array" ref="D5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6" t="str" cm="1">
        <f t="array" ref="E56">INDEX(sprinkler[sprinkler],
  1+MOD(QUOTIENT(ROW()-ROW($B$2),
     ROWS(manual_suppression[manual_suppression])*
     ROWS(door_open[door_open])*
     ROWS(smoke_seal[smoke_seal])
  ),
  ROWS(sprinkler[sprinkler]))
)</f>
        <v>Fail</v>
      </c>
      <c r="F56" t="str" cm="1">
        <f t="array" ref="F56">INDEX(manual_suppression[manual_suppression],
  1+MOD(QUOTIENT(ROW()-ROW($B$2),
     ROWS(door_open[door_open])*
     ROWS(smoke_seal[smoke_seal])
  ),
  ROWS(manual_suppression[manual_suppression]))
)</f>
        <v>Suppress</v>
      </c>
      <c r="G56" t="str" cm="1">
        <f t="array" ref="G56">INDEX(door_open[door_open],
  1+MOD(QUOTIENT(ROW()-ROW($B$2),
     ROWS(smoke_seal[smoke_seal])
  ),
  ROWS(door_open[door_open]))
)</f>
        <v>Closed</v>
      </c>
      <c r="H56" t="str" cm="1">
        <f t="array" ref="H56">INDEX(smoke_seal[smoke_seal],
  1+MOD(ROW()-ROW($B$2), ROWS(smoke_seal[smoke_seal]))
)</f>
        <v>Fail</v>
      </c>
      <c r="I56" t="str">
        <f>IF(event_tree[[#This Row],[door_open]]="Open","Open",IF(event_tree[[#This Row],[smoke_seal]]="Success","Close","Part"))</f>
        <v>Part</v>
      </c>
      <c r="J56">
        <f>IF(B56="apartment",Inputs!$I$7,Inputs!$I$6)</f>
        <v>7.7999999999999996E-3</v>
      </c>
      <c r="K56">
        <f>PRODUCT(
  INDEX(fire_location[Probability],MATCH($B56,fire_location[fire_location],0)),
  INDEX(smoke_detection_apt[Probability],MATCH($C56,smoke_detection_apt[smoke_detection_apt],0)),
  INDEX(smoke_detection_corridor[Probability],MATCH($D56,smoke_detection_corridor[smoke_detection_corridor],0)),
  INDEX(sprinkler[Probability],MATCH($E56,sprinkler[sprinkler],0)),
  INDEX(manual_suppression[Probability],MATCH($F56,manual_suppression[manual_suppression],0)),
  INDEX(door_open[Probability],MATCH($G56,door_open[door_open],0)),
  INDEX(smoke_seal[Probability],MATCH($H56,smoke_seal[smoke_seal],0))
)</f>
        <v>1.35728775E-3</v>
      </c>
      <c r="L5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56" t="str">
        <f>event_tree[[#This Row],[ASET_scenario]]&amp;Inputs!$F$8</f>
        <v>X6</v>
      </c>
      <c r="N5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5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56" t="str">
        <f>event_tree[[#This Row],[fire_location]]&amp;Inputs!$F$8</f>
        <v>Apartment6</v>
      </c>
      <c r="Q5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56">
        <f>IF(event_tree[[#This Row],[fire_location]]="Apartment",Inputs!$F$11,Inputs!$F$12)</f>
        <v>60</v>
      </c>
      <c r="S56">
        <f>10+Inputs!$F$8</f>
        <v>16</v>
      </c>
      <c r="T5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56">
        <f>IF(event_tree[[#This Row],[fire_location]]="Apartment",Inputs!$F$12,Inputs!$F$11)</f>
        <v>600</v>
      </c>
      <c r="V56">
        <f>10+Inputs!$F$8</f>
        <v>16</v>
      </c>
      <c r="W56">
        <f>30</f>
        <v>30</v>
      </c>
      <c r="X56" t="str">
        <f>IF(event_tree[[#This Row],[ASET_scenario]]="X","extinguish",
   event_tree[[#This Row],[SOU_tdet]] + event_tree[[#This Row],[SOU_tpre]] + event_tree[[#This Row],[tnot]])</f>
        <v>extinguish</v>
      </c>
      <c r="Y56" t="str">
        <f>IF(event_tree[[#This Row],[ASET_scenario]]="X","extinguish",
   event_tree[[#This Row],[SOU_inside_RSET]] + event_tree[[#This Row],[SOU_ttrav]])</f>
        <v>extinguish</v>
      </c>
      <c r="Z5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56" t="str">
        <f>IF(event_tree[[#This Row],[ASET_scenario]]="X","extinguish", event_tree[[#This Row],[apt_ASET]]/event_tree[[#This Row],[SOU_inside_RSET]])</f>
        <v>extinguish</v>
      </c>
      <c r="AB56" t="str">
        <f>IF(event_tree[[#This Row],[ASET_scenario]]="X","extinguish",event_tree[[#This Row],[cor_ASET]]/event_tree[[#This Row],[SOU_outside_RSET]])</f>
        <v>extinguish</v>
      </c>
      <c r="AC56" t="str">
        <f>IF(event_tree[[#This Row],[ASET_scenario]]="X","extinguish",event_tree[[#This Row],[cor_ASET]]/event_tree[[#This Row],[remote_RSET]])</f>
        <v>extinguish</v>
      </c>
      <c r="AD56" t="b">
        <f>IF(OR(event_tree[[#This Row],[SOU_inside_ratio]]&lt;1,event_tree[[#This Row],[SOU_outside_ratio]]&lt;1),2)</f>
        <v>0</v>
      </c>
      <c r="AE56" t="b">
        <f>IF(event_tree[[#This Row],[remote_ratio]]&lt;1,2*(Inputs!$F$5-1))</f>
        <v>0</v>
      </c>
      <c r="AF56">
        <f>event_tree[[#This Row],[SOU_casualty]]+event_tree[[#This Row],[remote_casualty]]</f>
        <v>0</v>
      </c>
      <c r="AG56">
        <f>event_tree[[#This Row],[fire_frequency]]*event_tree[[#This Row],[probability_of_scenario]]</f>
        <v>1.0586844449999999E-5</v>
      </c>
      <c r="AH56">
        <f>event_tree[[#This Row],[total_casualty]]*event_tree[[#This Row],[fire_probability]]</f>
        <v>0</v>
      </c>
    </row>
    <row r="57" spans="1:34" x14ac:dyDescent="0.25">
      <c r="A57">
        <v>56</v>
      </c>
      <c r="B57" t="str" cm="1">
        <f t="array" ref="B5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7" t="str" cm="1">
        <f t="array" ref="C5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7" t="str" cm="1">
        <f t="array" ref="D5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7" t="str" cm="1">
        <f t="array" ref="E57">INDEX(sprinkler[sprinkler],
  1+MOD(QUOTIENT(ROW()-ROW($B$2),
     ROWS(manual_suppression[manual_suppression])*
     ROWS(door_open[door_open])*
     ROWS(smoke_seal[smoke_seal])
  ),
  ROWS(sprinkler[sprinkler]))
)</f>
        <v>Fail</v>
      </c>
      <c r="F57" t="str" cm="1">
        <f t="array" ref="F57">INDEX(manual_suppression[manual_suppression],
  1+MOD(QUOTIENT(ROW()-ROW($B$2),
     ROWS(door_open[door_open])*
     ROWS(smoke_seal[smoke_seal])
  ),
  ROWS(manual_suppression[manual_suppression]))
)</f>
        <v>Suppress</v>
      </c>
      <c r="G57" t="str" cm="1">
        <f t="array" ref="G57">INDEX(door_open[door_open],
  1+MOD(QUOTIENT(ROW()-ROW($B$2),
     ROWS(smoke_seal[smoke_seal])
  ),
  ROWS(door_open[door_open]))
)</f>
        <v>Closed</v>
      </c>
      <c r="H57" t="str" cm="1">
        <f t="array" ref="H57">INDEX(smoke_seal[smoke_seal],
  1+MOD(ROW()-ROW($B$2), ROWS(smoke_seal[smoke_seal]))
)</f>
        <v>Success</v>
      </c>
      <c r="I57" t="str">
        <f>IF(event_tree[[#This Row],[door_open]]="Open","Open",IF(event_tree[[#This Row],[smoke_seal]]="Success","Close","Part"))</f>
        <v>Close</v>
      </c>
      <c r="J57">
        <f>IF(B57="apartment",Inputs!$I$7,Inputs!$I$6)</f>
        <v>7.7999999999999996E-3</v>
      </c>
      <c r="K57">
        <f>PRODUCT(
  INDEX(fire_location[Probability],MATCH($B57,fire_location[fire_location],0)),
  INDEX(smoke_detection_apt[Probability],MATCH($C57,smoke_detection_apt[smoke_detection_apt],0)),
  INDEX(smoke_detection_corridor[Probability],MATCH($D57,smoke_detection_corridor[smoke_detection_corridor],0)),
  INDEX(sprinkler[Probability],MATCH($E57,sprinkler[sprinkler],0)),
  INDEX(manual_suppression[Probability],MATCH($F57,manual_suppression[manual_suppression],0)),
  INDEX(door_open[Probability],MATCH($G57,door_open[door_open],0)),
  INDEX(smoke_seal[Probability],MATCH($H57,smoke_seal[smoke_seal],0))
)</f>
        <v>2.5206772500000005E-3</v>
      </c>
      <c r="L5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57" t="str">
        <f>event_tree[[#This Row],[ASET_scenario]]&amp;Inputs!$F$8</f>
        <v>X6</v>
      </c>
      <c r="N5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5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57" t="str">
        <f>event_tree[[#This Row],[fire_location]]&amp;Inputs!$F$8</f>
        <v>Apartment6</v>
      </c>
      <c r="Q5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57">
        <f>IF(event_tree[[#This Row],[fire_location]]="Apartment",Inputs!$F$11,Inputs!$F$12)</f>
        <v>60</v>
      </c>
      <c r="S57">
        <f>10+Inputs!$F$8</f>
        <v>16</v>
      </c>
      <c r="T5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57">
        <f>IF(event_tree[[#This Row],[fire_location]]="Apartment",Inputs!$F$12,Inputs!$F$11)</f>
        <v>600</v>
      </c>
      <c r="V57">
        <f>10+Inputs!$F$8</f>
        <v>16</v>
      </c>
      <c r="W57">
        <f>30</f>
        <v>30</v>
      </c>
      <c r="X57" t="str">
        <f>IF(event_tree[[#This Row],[ASET_scenario]]="X","extinguish",
   event_tree[[#This Row],[SOU_tdet]] + event_tree[[#This Row],[SOU_tpre]] + event_tree[[#This Row],[tnot]])</f>
        <v>extinguish</v>
      </c>
      <c r="Y57" t="str">
        <f>IF(event_tree[[#This Row],[ASET_scenario]]="X","extinguish",
   event_tree[[#This Row],[SOU_inside_RSET]] + event_tree[[#This Row],[SOU_ttrav]])</f>
        <v>extinguish</v>
      </c>
      <c r="Z5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57" t="str">
        <f>IF(event_tree[[#This Row],[ASET_scenario]]="X","extinguish", event_tree[[#This Row],[apt_ASET]]/event_tree[[#This Row],[SOU_inside_RSET]])</f>
        <v>extinguish</v>
      </c>
      <c r="AB57" t="str">
        <f>IF(event_tree[[#This Row],[ASET_scenario]]="X","extinguish",event_tree[[#This Row],[cor_ASET]]/event_tree[[#This Row],[SOU_outside_RSET]])</f>
        <v>extinguish</v>
      </c>
      <c r="AC57" t="str">
        <f>IF(event_tree[[#This Row],[ASET_scenario]]="X","extinguish",event_tree[[#This Row],[cor_ASET]]/event_tree[[#This Row],[remote_RSET]])</f>
        <v>extinguish</v>
      </c>
      <c r="AD57" t="b">
        <f>IF(OR(event_tree[[#This Row],[SOU_inside_ratio]]&lt;1,event_tree[[#This Row],[SOU_outside_ratio]]&lt;1),2)</f>
        <v>0</v>
      </c>
      <c r="AE57" t="b">
        <f>IF(event_tree[[#This Row],[remote_ratio]]&lt;1,2*(Inputs!$F$5-1))</f>
        <v>0</v>
      </c>
      <c r="AF57">
        <f>event_tree[[#This Row],[SOU_casualty]]+event_tree[[#This Row],[remote_casualty]]</f>
        <v>0</v>
      </c>
      <c r="AG57">
        <f>event_tree[[#This Row],[fire_frequency]]*event_tree[[#This Row],[probability_of_scenario]]</f>
        <v>1.9661282550000002E-5</v>
      </c>
      <c r="AH57">
        <f>event_tree[[#This Row],[total_casualty]]*event_tree[[#This Row],[fire_probability]]</f>
        <v>0</v>
      </c>
    </row>
    <row r="58" spans="1:34" x14ac:dyDescent="0.25">
      <c r="A58">
        <v>57</v>
      </c>
      <c r="B58" t="str" cm="1">
        <f t="array" ref="B5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8" t="str" cm="1">
        <f t="array" ref="C5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8" t="str" cm="1">
        <f t="array" ref="D5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8" t="str" cm="1">
        <f t="array" ref="E58">INDEX(sprinkler[sprinkler],
  1+MOD(QUOTIENT(ROW()-ROW($B$2),
     ROWS(manual_suppression[manual_suppression])*
     ROWS(door_open[door_open])*
     ROWS(smoke_seal[smoke_seal])
  ),
  ROWS(sprinkler[sprinkler]))
)</f>
        <v>Control</v>
      </c>
      <c r="F58" t="str" cm="1">
        <f t="array" ref="F58">INDEX(manual_suppression[manual_suppression],
  1+MOD(QUOTIENT(ROW()-ROW($B$2),
     ROWS(door_open[door_open])*
     ROWS(smoke_seal[smoke_seal])
  ),
  ROWS(manual_suppression[manual_suppression]))
)</f>
        <v>Fail</v>
      </c>
      <c r="G58" t="str" cm="1">
        <f t="array" ref="G58">INDEX(door_open[door_open],
  1+MOD(QUOTIENT(ROW()-ROW($B$2),
     ROWS(smoke_seal[smoke_seal])
  ),
  ROWS(door_open[door_open]))
)</f>
        <v>Open</v>
      </c>
      <c r="H58" t="str" cm="1">
        <f t="array" ref="H58">INDEX(smoke_seal[smoke_seal],
  1+MOD(ROW()-ROW($B$2), ROWS(smoke_seal[smoke_seal]))
)</f>
        <v>Fail</v>
      </c>
      <c r="I58" t="str">
        <f>IF(event_tree[[#This Row],[door_open]]="Open","Open",IF(event_tree[[#This Row],[smoke_seal]]="Success","Close","Part"))</f>
        <v>Open</v>
      </c>
      <c r="J58">
        <f>IF(B58="apartment",Inputs!$I$7,Inputs!$I$6)</f>
        <v>7.7999999999999996E-3</v>
      </c>
      <c r="K58">
        <f>PRODUCT(
  INDEX(fire_location[Probability],MATCH($B58,fire_location[fire_location],0)),
  INDEX(smoke_detection_apt[Probability],MATCH($C58,smoke_detection_apt[smoke_detection_apt],0)),
  INDEX(smoke_detection_corridor[Probability],MATCH($D58,smoke_detection_corridor[smoke_detection_corridor],0)),
  INDEX(sprinkler[Probability],MATCH($E58,sprinkler[sprinkler],0)),
  INDEX(manual_suppression[Probability],MATCH($F58,manual_suppression[manual_suppression],0)),
  INDEX(door_open[Probability],MATCH($G58,door_open[door_open],0)),
  INDEX(smoke_seal[Probability],MATCH($H58,smoke_seal[smoke_seal],0))
)</f>
        <v>1.3155250500000001E-3</v>
      </c>
      <c r="L5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D</v>
      </c>
      <c r="M58" t="str">
        <f>event_tree[[#This Row],[ASET_scenario]]&amp;Inputs!$F$8</f>
        <v>D6</v>
      </c>
      <c r="N58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58">
        <f>IF(OR(event_tree[[#This Row],[sprinkler]]="Extinguish",event_tree[[#This Row],[manual_suppression]]="Suppress"),"extinguish",_xlfn.XLOOKUP(event_tree[[#This Row],[ASET_helper1]],ASET_data[ASET_helper1],ASET_data[cor_ASET]))</f>
        <v>95</v>
      </c>
      <c r="P58" t="str">
        <f>event_tree[[#This Row],[fire_location]]&amp;Inputs!$F$8</f>
        <v>Apartment6</v>
      </c>
      <c r="Q5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</v>
      </c>
      <c r="R58">
        <f>IF(event_tree[[#This Row],[fire_location]]="Apartment",Inputs!$F$11,Inputs!$F$12)</f>
        <v>60</v>
      </c>
      <c r="S58">
        <f>10+Inputs!$F$8</f>
        <v>16</v>
      </c>
      <c r="T5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</v>
      </c>
      <c r="U58">
        <f>IF(event_tree[[#This Row],[fire_location]]="Apartment",Inputs!$F$12,Inputs!$F$11)</f>
        <v>600</v>
      </c>
      <c r="V58">
        <f>10+Inputs!$F$8</f>
        <v>16</v>
      </c>
      <c r="W58">
        <f>30</f>
        <v>30</v>
      </c>
      <c r="X58">
        <f>IF(event_tree[[#This Row],[ASET_scenario]]="X","extinguish",
   event_tree[[#This Row],[SOU_tdet]] + event_tree[[#This Row],[SOU_tpre]] + event_tree[[#This Row],[tnot]])</f>
        <v>180</v>
      </c>
      <c r="Y58">
        <f>IF(event_tree[[#This Row],[ASET_scenario]]="X","extinguish",
   event_tree[[#This Row],[SOU_inside_RSET]] + event_tree[[#This Row],[SOU_ttrav]])</f>
        <v>196</v>
      </c>
      <c r="Z58">
        <f>IF(event_tree[[#This Row],[ASET_scenario]]="X","extinguish",
   event_tree[[#This Row],[remote_tdet]] + event_tree[[#This Row],[remote_tpre]] + event_tree[[#This Row],[remote_ttrav]] + event_tree[[#This Row],[tnot]])</f>
        <v>736</v>
      </c>
      <c r="AA58">
        <f>IF(event_tree[[#This Row],[ASET_scenario]]="X","extinguish", event_tree[[#This Row],[apt_ASET]]/event_tree[[#This Row],[SOU_inside_RSET]])</f>
        <v>0.35</v>
      </c>
      <c r="AB58">
        <f>IF(event_tree[[#This Row],[ASET_scenario]]="X","extinguish",event_tree[[#This Row],[cor_ASET]]/event_tree[[#This Row],[SOU_outside_RSET]])</f>
        <v>0.48469387755102039</v>
      </c>
      <c r="AC58">
        <f>IF(event_tree[[#This Row],[ASET_scenario]]="X","extinguish",event_tree[[#This Row],[cor_ASET]]/event_tree[[#This Row],[remote_RSET]])</f>
        <v>0.12907608695652173</v>
      </c>
      <c r="AD58">
        <f>IF(OR(event_tree[[#This Row],[SOU_inside_ratio]]&lt;1,event_tree[[#This Row],[SOU_outside_ratio]]&lt;1),2)</f>
        <v>2</v>
      </c>
      <c r="AE58">
        <f>IF(event_tree[[#This Row],[remote_ratio]]&lt;1,2*(Inputs!$F$5-1))</f>
        <v>10</v>
      </c>
      <c r="AF58">
        <f>event_tree[[#This Row],[SOU_casualty]]+event_tree[[#This Row],[remote_casualty]]</f>
        <v>12</v>
      </c>
      <c r="AG58">
        <f>event_tree[[#This Row],[fire_frequency]]*event_tree[[#This Row],[probability_of_scenario]]</f>
        <v>1.026109539E-5</v>
      </c>
      <c r="AH58">
        <f>event_tree[[#This Row],[total_casualty]]*event_tree[[#This Row],[fire_probability]]</f>
        <v>1.2313314468000001E-4</v>
      </c>
    </row>
    <row r="59" spans="1:34" x14ac:dyDescent="0.25">
      <c r="A59">
        <v>58</v>
      </c>
      <c r="B59" t="str" cm="1">
        <f t="array" ref="B5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59" t="str" cm="1">
        <f t="array" ref="C5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59" t="str" cm="1">
        <f t="array" ref="D5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59" t="str" cm="1">
        <f t="array" ref="E59">INDEX(sprinkler[sprinkler],
  1+MOD(QUOTIENT(ROW()-ROW($B$2),
     ROWS(manual_suppression[manual_suppression])*
     ROWS(door_open[door_open])*
     ROWS(smoke_seal[smoke_seal])
  ),
  ROWS(sprinkler[sprinkler]))
)</f>
        <v>Control</v>
      </c>
      <c r="F59" t="str" cm="1">
        <f t="array" ref="F59">INDEX(manual_suppression[manual_suppression],
  1+MOD(QUOTIENT(ROW()-ROW($B$2),
     ROWS(door_open[door_open])*
     ROWS(smoke_seal[smoke_seal])
  ),
  ROWS(manual_suppression[manual_suppression]))
)</f>
        <v>Fail</v>
      </c>
      <c r="G59" t="str" cm="1">
        <f t="array" ref="G59">INDEX(door_open[door_open],
  1+MOD(QUOTIENT(ROW()-ROW($B$2),
     ROWS(smoke_seal[smoke_seal])
  ),
  ROWS(door_open[door_open]))
)</f>
        <v>Open</v>
      </c>
      <c r="H59" t="str" cm="1">
        <f t="array" ref="H59">INDEX(smoke_seal[smoke_seal],
  1+MOD(ROW()-ROW($B$2), ROWS(smoke_seal[smoke_seal]))
)</f>
        <v>Success</v>
      </c>
      <c r="I59" t="str">
        <f>IF(event_tree[[#This Row],[door_open]]="Open","Open",IF(event_tree[[#This Row],[smoke_seal]]="Success","Close","Part"))</f>
        <v>Open</v>
      </c>
      <c r="J59">
        <f>IF(B59="apartment",Inputs!$I$7,Inputs!$I$6)</f>
        <v>7.7999999999999996E-3</v>
      </c>
      <c r="K59">
        <f>PRODUCT(
  INDEX(fire_location[Probability],MATCH($B59,fire_location[fire_location],0)),
  INDEX(smoke_detection_apt[Probability],MATCH($C59,smoke_detection_apt[smoke_detection_apt],0)),
  INDEX(smoke_detection_corridor[Probability],MATCH($D59,smoke_detection_corridor[smoke_detection_corridor],0)),
  INDEX(sprinkler[Probability],MATCH($E59,sprinkler[sprinkler],0)),
  INDEX(manual_suppression[Probability],MATCH($F59,manual_suppression[manual_suppression],0)),
  INDEX(door_open[Probability],MATCH($G59,door_open[door_open],0)),
  INDEX(smoke_seal[Probability],MATCH($H59,smoke_seal[smoke_seal],0))
)</f>
        <v>2.4431179500000004E-3</v>
      </c>
      <c r="L5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D</v>
      </c>
      <c r="M59" t="str">
        <f>event_tree[[#This Row],[ASET_scenario]]&amp;Inputs!$F$8</f>
        <v>D6</v>
      </c>
      <c r="N59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59">
        <f>IF(OR(event_tree[[#This Row],[sprinkler]]="Extinguish",event_tree[[#This Row],[manual_suppression]]="Suppress"),"extinguish",_xlfn.XLOOKUP(event_tree[[#This Row],[ASET_helper1]],ASET_data[ASET_helper1],ASET_data[cor_ASET]))</f>
        <v>95</v>
      </c>
      <c r="P59" t="str">
        <f>event_tree[[#This Row],[fire_location]]&amp;Inputs!$F$8</f>
        <v>Apartment6</v>
      </c>
      <c r="Q5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</v>
      </c>
      <c r="R59">
        <f>IF(event_tree[[#This Row],[fire_location]]="Apartment",Inputs!$F$11,Inputs!$F$12)</f>
        <v>60</v>
      </c>
      <c r="S59">
        <f>10+Inputs!$F$8</f>
        <v>16</v>
      </c>
      <c r="T5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</v>
      </c>
      <c r="U59">
        <f>IF(event_tree[[#This Row],[fire_location]]="Apartment",Inputs!$F$12,Inputs!$F$11)</f>
        <v>600</v>
      </c>
      <c r="V59">
        <f>10+Inputs!$F$8</f>
        <v>16</v>
      </c>
      <c r="W59">
        <f>30</f>
        <v>30</v>
      </c>
      <c r="X59">
        <f>IF(event_tree[[#This Row],[ASET_scenario]]="X","extinguish",
   event_tree[[#This Row],[SOU_tdet]] + event_tree[[#This Row],[SOU_tpre]] + event_tree[[#This Row],[tnot]])</f>
        <v>180</v>
      </c>
      <c r="Y59">
        <f>IF(event_tree[[#This Row],[ASET_scenario]]="X","extinguish",
   event_tree[[#This Row],[SOU_inside_RSET]] + event_tree[[#This Row],[SOU_ttrav]])</f>
        <v>196</v>
      </c>
      <c r="Z59">
        <f>IF(event_tree[[#This Row],[ASET_scenario]]="X","extinguish",
   event_tree[[#This Row],[remote_tdet]] + event_tree[[#This Row],[remote_tpre]] + event_tree[[#This Row],[remote_ttrav]] + event_tree[[#This Row],[tnot]])</f>
        <v>736</v>
      </c>
      <c r="AA59">
        <f>IF(event_tree[[#This Row],[ASET_scenario]]="X","extinguish", event_tree[[#This Row],[apt_ASET]]/event_tree[[#This Row],[SOU_inside_RSET]])</f>
        <v>0.35</v>
      </c>
      <c r="AB59">
        <f>IF(event_tree[[#This Row],[ASET_scenario]]="X","extinguish",event_tree[[#This Row],[cor_ASET]]/event_tree[[#This Row],[SOU_outside_RSET]])</f>
        <v>0.48469387755102039</v>
      </c>
      <c r="AC59">
        <f>IF(event_tree[[#This Row],[ASET_scenario]]="X","extinguish",event_tree[[#This Row],[cor_ASET]]/event_tree[[#This Row],[remote_RSET]])</f>
        <v>0.12907608695652173</v>
      </c>
      <c r="AD59">
        <f>IF(OR(event_tree[[#This Row],[SOU_inside_ratio]]&lt;1,event_tree[[#This Row],[SOU_outside_ratio]]&lt;1),2)</f>
        <v>2</v>
      </c>
      <c r="AE59">
        <f>IF(event_tree[[#This Row],[remote_ratio]]&lt;1,2*(Inputs!$F$5-1))</f>
        <v>10</v>
      </c>
      <c r="AF59">
        <f>event_tree[[#This Row],[SOU_casualty]]+event_tree[[#This Row],[remote_casualty]]</f>
        <v>12</v>
      </c>
      <c r="AG59">
        <f>event_tree[[#This Row],[fire_frequency]]*event_tree[[#This Row],[probability_of_scenario]]</f>
        <v>1.9056320010000004E-5</v>
      </c>
      <c r="AH59">
        <f>event_tree[[#This Row],[total_casualty]]*event_tree[[#This Row],[fire_probability]]</f>
        <v>2.2867584012000006E-4</v>
      </c>
    </row>
    <row r="60" spans="1:34" x14ac:dyDescent="0.25">
      <c r="A60">
        <v>59</v>
      </c>
      <c r="B60" t="str" cm="1">
        <f t="array" ref="B6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0" t="str" cm="1">
        <f t="array" ref="C6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0" t="str" cm="1">
        <f t="array" ref="D6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0" t="str" cm="1">
        <f t="array" ref="E60">INDEX(sprinkler[sprinkler],
  1+MOD(QUOTIENT(ROW()-ROW($B$2),
     ROWS(manual_suppression[manual_suppression])*
     ROWS(door_open[door_open])*
     ROWS(smoke_seal[smoke_seal])
  ),
  ROWS(sprinkler[sprinkler]))
)</f>
        <v>Control</v>
      </c>
      <c r="F60" t="str" cm="1">
        <f t="array" ref="F60">INDEX(manual_suppression[manual_suppression],
  1+MOD(QUOTIENT(ROW()-ROW($B$2),
     ROWS(door_open[door_open])*
     ROWS(smoke_seal[smoke_seal])
  ),
  ROWS(manual_suppression[manual_suppression]))
)</f>
        <v>Fail</v>
      </c>
      <c r="G60" t="str" cm="1">
        <f t="array" ref="G60">INDEX(door_open[door_open],
  1+MOD(QUOTIENT(ROW()-ROW($B$2),
     ROWS(smoke_seal[smoke_seal])
  ),
  ROWS(door_open[door_open]))
)</f>
        <v>Closed</v>
      </c>
      <c r="H60" t="str" cm="1">
        <f t="array" ref="H60">INDEX(smoke_seal[smoke_seal],
  1+MOD(ROW()-ROW($B$2), ROWS(smoke_seal[smoke_seal]))
)</f>
        <v>Fail</v>
      </c>
      <c r="I60" t="str">
        <f>IF(event_tree[[#This Row],[door_open]]="Open","Open",IF(event_tree[[#This Row],[smoke_seal]]="Success","Close","Part"))</f>
        <v>Part</v>
      </c>
      <c r="J60">
        <f>IF(B60="apartment",Inputs!$I$7,Inputs!$I$6)</f>
        <v>7.7999999999999996E-3</v>
      </c>
      <c r="K60">
        <f>PRODUCT(
  INDEX(fire_location[Probability],MATCH($B60,fire_location[fire_location],0)),
  INDEX(smoke_detection_apt[Probability],MATCH($C60,smoke_detection_apt[smoke_detection_apt],0)),
  INDEX(smoke_detection_corridor[Probability],MATCH($D60,smoke_detection_corridor[smoke_detection_corridor],0)),
  INDEX(sprinkler[Probability],MATCH($E60,sprinkler[sprinkler],0)),
  INDEX(manual_suppression[Probability],MATCH($F60,manual_suppression[manual_suppression],0)),
  INDEX(door_open[Probability],MATCH($G60,door_open[door_open],0)),
  INDEX(smoke_seal[Probability],MATCH($H60,smoke_seal[smoke_seal],0))
)</f>
        <v>3.0695584499999999E-3</v>
      </c>
      <c r="L6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F</v>
      </c>
      <c r="M60" t="str">
        <f>event_tree[[#This Row],[ASET_scenario]]&amp;Inputs!$F$8</f>
        <v>F6</v>
      </c>
      <c r="N60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60">
        <f>IF(OR(event_tree[[#This Row],[sprinkler]]="Extinguish",event_tree[[#This Row],[manual_suppression]]="Suppress"),"extinguish",_xlfn.XLOOKUP(event_tree[[#This Row],[ASET_helper1]],ASET_data[ASET_helper1],ASET_data[cor_ASET]))</f>
        <v>125</v>
      </c>
      <c r="P60" t="str">
        <f>event_tree[[#This Row],[fire_location]]&amp;Inputs!$F$8</f>
        <v>Apartment6</v>
      </c>
      <c r="Q6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108</v>
      </c>
      <c r="R60">
        <f>IF(event_tree[[#This Row],[fire_location]]="Apartment",Inputs!$F$11,Inputs!$F$12)</f>
        <v>60</v>
      </c>
      <c r="S60">
        <f>10+Inputs!$F$8</f>
        <v>16</v>
      </c>
      <c r="T6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108</v>
      </c>
      <c r="U60">
        <f>IF(event_tree[[#This Row],[fire_location]]="Apartment",Inputs!$F$12,Inputs!$F$11)</f>
        <v>600</v>
      </c>
      <c r="V60">
        <f>10+Inputs!$F$8</f>
        <v>16</v>
      </c>
      <c r="W60">
        <f>30</f>
        <v>30</v>
      </c>
      <c r="X60">
        <f>IF(event_tree[[#This Row],[ASET_scenario]]="X","extinguish",
   event_tree[[#This Row],[SOU_tdet]] + event_tree[[#This Row],[SOU_tpre]] + event_tree[[#This Row],[tnot]])</f>
        <v>198</v>
      </c>
      <c r="Y60">
        <f>IF(event_tree[[#This Row],[ASET_scenario]]="X","extinguish",
   event_tree[[#This Row],[SOU_inside_RSET]] + event_tree[[#This Row],[SOU_ttrav]])</f>
        <v>214</v>
      </c>
      <c r="Z60">
        <f>IF(event_tree[[#This Row],[ASET_scenario]]="X","extinguish",
   event_tree[[#This Row],[remote_tdet]] + event_tree[[#This Row],[remote_tpre]] + event_tree[[#This Row],[remote_ttrav]] + event_tree[[#This Row],[tnot]])</f>
        <v>754</v>
      </c>
      <c r="AA60">
        <f>IF(event_tree[[#This Row],[ASET_scenario]]="X","extinguish", event_tree[[#This Row],[apt_ASET]]/event_tree[[#This Row],[SOU_inside_RSET]])</f>
        <v>0.31818181818181818</v>
      </c>
      <c r="AB60">
        <f>IF(event_tree[[#This Row],[ASET_scenario]]="X","extinguish",event_tree[[#This Row],[cor_ASET]]/event_tree[[#This Row],[SOU_outside_RSET]])</f>
        <v>0.58411214953271029</v>
      </c>
      <c r="AC60">
        <f>IF(event_tree[[#This Row],[ASET_scenario]]="X","extinguish",event_tree[[#This Row],[cor_ASET]]/event_tree[[#This Row],[remote_RSET]])</f>
        <v>0.16578249336870027</v>
      </c>
      <c r="AD60">
        <f>IF(OR(event_tree[[#This Row],[SOU_inside_ratio]]&lt;1,event_tree[[#This Row],[SOU_outside_ratio]]&lt;1),2)</f>
        <v>2</v>
      </c>
      <c r="AE60">
        <f>IF(event_tree[[#This Row],[remote_ratio]]&lt;1,2*(Inputs!$F$5-1))</f>
        <v>10</v>
      </c>
      <c r="AF60">
        <f>event_tree[[#This Row],[SOU_casualty]]+event_tree[[#This Row],[remote_casualty]]</f>
        <v>12</v>
      </c>
      <c r="AG60">
        <f>event_tree[[#This Row],[fire_frequency]]*event_tree[[#This Row],[probability_of_scenario]]</f>
        <v>2.3942555909999998E-5</v>
      </c>
      <c r="AH60">
        <f>event_tree[[#This Row],[total_casualty]]*event_tree[[#This Row],[fire_probability]]</f>
        <v>2.8731067091999999E-4</v>
      </c>
    </row>
    <row r="61" spans="1:34" x14ac:dyDescent="0.25">
      <c r="A61">
        <v>60</v>
      </c>
      <c r="B61" t="str" cm="1">
        <f t="array" ref="B6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1" t="str" cm="1">
        <f t="array" ref="C6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1" t="str" cm="1">
        <f t="array" ref="D6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1" t="str" cm="1">
        <f t="array" ref="E61">INDEX(sprinkler[sprinkler],
  1+MOD(QUOTIENT(ROW()-ROW($B$2),
     ROWS(manual_suppression[manual_suppression])*
     ROWS(door_open[door_open])*
     ROWS(smoke_seal[smoke_seal])
  ),
  ROWS(sprinkler[sprinkler]))
)</f>
        <v>Control</v>
      </c>
      <c r="F61" t="str" cm="1">
        <f t="array" ref="F61">INDEX(manual_suppression[manual_suppression],
  1+MOD(QUOTIENT(ROW()-ROW($B$2),
     ROWS(door_open[door_open])*
     ROWS(smoke_seal[smoke_seal])
  ),
  ROWS(manual_suppression[manual_suppression]))
)</f>
        <v>Fail</v>
      </c>
      <c r="G61" t="str" cm="1">
        <f t="array" ref="G61">INDEX(door_open[door_open],
  1+MOD(QUOTIENT(ROW()-ROW($B$2),
     ROWS(smoke_seal[smoke_seal])
  ),
  ROWS(door_open[door_open]))
)</f>
        <v>Closed</v>
      </c>
      <c r="H61" t="str" cm="1">
        <f t="array" ref="H61">INDEX(smoke_seal[smoke_seal],
  1+MOD(ROW()-ROW($B$2), ROWS(smoke_seal[smoke_seal]))
)</f>
        <v>Success</v>
      </c>
      <c r="I61" t="str">
        <f>IF(event_tree[[#This Row],[door_open]]="Open","Open",IF(event_tree[[#This Row],[smoke_seal]]="Success","Close","Part"))</f>
        <v>Close</v>
      </c>
      <c r="J61">
        <f>IF(B61="apartment",Inputs!$I$7,Inputs!$I$6)</f>
        <v>7.7999999999999996E-3</v>
      </c>
      <c r="K61">
        <f>PRODUCT(
  INDEX(fire_location[Probability],MATCH($B61,fire_location[fire_location],0)),
  INDEX(smoke_detection_apt[Probability],MATCH($C61,smoke_detection_apt[smoke_detection_apt],0)),
  INDEX(smoke_detection_corridor[Probability],MATCH($D61,smoke_detection_corridor[smoke_detection_corridor],0)),
  INDEX(sprinkler[Probability],MATCH($E61,sprinkler[sprinkler],0)),
  INDEX(manual_suppression[Probability],MATCH($F61,manual_suppression[manual_suppression],0)),
  INDEX(door_open[Probability],MATCH($G61,door_open[door_open],0)),
  INDEX(smoke_seal[Probability],MATCH($H61,smoke_seal[smoke_seal],0))
)</f>
        <v>5.7006085500000006E-3</v>
      </c>
      <c r="L6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E</v>
      </c>
      <c r="M61" t="str">
        <f>event_tree[[#This Row],[ASET_scenario]]&amp;Inputs!$F$8</f>
        <v>E6</v>
      </c>
      <c r="N61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61">
        <f>IF(OR(event_tree[[#This Row],[sprinkler]]="Extinguish",event_tree[[#This Row],[manual_suppression]]="Suppress"),"extinguish",_xlfn.XLOOKUP(event_tree[[#This Row],[ASET_helper1]],ASET_data[ASET_helper1],ASET_data[cor_ASET]))</f>
        <v>3600</v>
      </c>
      <c r="P61" t="str">
        <f>event_tree[[#This Row],[fire_location]]&amp;Inputs!$F$8</f>
        <v>Apartment6</v>
      </c>
      <c r="Q6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337</v>
      </c>
      <c r="R61">
        <f>IF(event_tree[[#This Row],[fire_location]]="Apartment",Inputs!$F$11,Inputs!$F$12)</f>
        <v>60</v>
      </c>
      <c r="S61">
        <f>10+Inputs!$F$8</f>
        <v>16</v>
      </c>
      <c r="T6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337</v>
      </c>
      <c r="U61">
        <f>IF(event_tree[[#This Row],[fire_location]]="Apartment",Inputs!$F$12,Inputs!$F$11)</f>
        <v>600</v>
      </c>
      <c r="V61">
        <f>10+Inputs!$F$8</f>
        <v>16</v>
      </c>
      <c r="W61">
        <f>30</f>
        <v>30</v>
      </c>
      <c r="X61">
        <f>IF(event_tree[[#This Row],[ASET_scenario]]="X","extinguish",
   event_tree[[#This Row],[SOU_tdet]] + event_tree[[#This Row],[SOU_tpre]] + event_tree[[#This Row],[tnot]])</f>
        <v>427</v>
      </c>
      <c r="Y61">
        <f>IF(event_tree[[#This Row],[ASET_scenario]]="X","extinguish",
   event_tree[[#This Row],[SOU_inside_RSET]] + event_tree[[#This Row],[SOU_ttrav]])</f>
        <v>443</v>
      </c>
      <c r="Z61">
        <f>IF(event_tree[[#This Row],[ASET_scenario]]="X","extinguish",
   event_tree[[#This Row],[remote_tdet]] + event_tree[[#This Row],[remote_tpre]] + event_tree[[#This Row],[remote_ttrav]] + event_tree[[#This Row],[tnot]])</f>
        <v>983</v>
      </c>
      <c r="AA61">
        <f>IF(event_tree[[#This Row],[ASET_scenario]]="X","extinguish", event_tree[[#This Row],[apt_ASET]]/event_tree[[#This Row],[SOU_inside_RSET]])</f>
        <v>0.14754098360655737</v>
      </c>
      <c r="AB61">
        <f>IF(event_tree[[#This Row],[ASET_scenario]]="X","extinguish",event_tree[[#This Row],[cor_ASET]]/event_tree[[#This Row],[SOU_outside_RSET]])</f>
        <v>8.1264108352144468</v>
      </c>
      <c r="AC61">
        <f>IF(event_tree[[#This Row],[ASET_scenario]]="X","extinguish",event_tree[[#This Row],[cor_ASET]]/event_tree[[#This Row],[remote_RSET]])</f>
        <v>3.6622583926754833</v>
      </c>
      <c r="AD61">
        <f>IF(OR(event_tree[[#This Row],[SOU_inside_ratio]]&lt;1,event_tree[[#This Row],[SOU_outside_ratio]]&lt;1),2)</f>
        <v>2</v>
      </c>
      <c r="AE61" t="b">
        <f>IF(event_tree[[#This Row],[remote_ratio]]&lt;1,2*(Inputs!$F$5-1))</f>
        <v>0</v>
      </c>
      <c r="AF61">
        <f>event_tree[[#This Row],[SOU_casualty]]+event_tree[[#This Row],[remote_casualty]]</f>
        <v>2</v>
      </c>
      <c r="AG61">
        <f>event_tree[[#This Row],[fire_frequency]]*event_tree[[#This Row],[probability_of_scenario]]</f>
        <v>4.4464746690000005E-5</v>
      </c>
      <c r="AH61">
        <f>event_tree[[#This Row],[total_casualty]]*event_tree[[#This Row],[fire_probability]]</f>
        <v>8.8929493380000011E-5</v>
      </c>
    </row>
    <row r="62" spans="1:34" x14ac:dyDescent="0.25">
      <c r="A62">
        <v>61</v>
      </c>
      <c r="B62" t="str" cm="1">
        <f t="array" ref="B6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2" t="str" cm="1">
        <f t="array" ref="C6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2" t="str" cm="1">
        <f t="array" ref="D6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2" t="str" cm="1">
        <f t="array" ref="E62">INDEX(sprinkler[sprinkler],
  1+MOD(QUOTIENT(ROW()-ROW($B$2),
     ROWS(manual_suppression[manual_suppression])*
     ROWS(door_open[door_open])*
     ROWS(smoke_seal[smoke_seal])
  ),
  ROWS(sprinkler[sprinkler]))
)</f>
        <v>Control</v>
      </c>
      <c r="F62" t="str" cm="1">
        <f t="array" ref="F62">INDEX(manual_suppression[manual_suppression],
  1+MOD(QUOTIENT(ROW()-ROW($B$2),
     ROWS(door_open[door_open])*
     ROWS(smoke_seal[smoke_seal])
  ),
  ROWS(manual_suppression[manual_suppression]))
)</f>
        <v>Suppress</v>
      </c>
      <c r="G62" t="str" cm="1">
        <f t="array" ref="G62">INDEX(door_open[door_open],
  1+MOD(QUOTIENT(ROW()-ROW($B$2),
     ROWS(smoke_seal[smoke_seal])
  ),
  ROWS(door_open[door_open]))
)</f>
        <v>Open</v>
      </c>
      <c r="H62" t="str" cm="1">
        <f t="array" ref="H62">INDEX(smoke_seal[smoke_seal],
  1+MOD(ROW()-ROW($B$2), ROWS(smoke_seal[smoke_seal]))
)</f>
        <v>Fail</v>
      </c>
      <c r="I62" t="str">
        <f>IF(event_tree[[#This Row],[door_open]]="Open","Open",IF(event_tree[[#This Row],[smoke_seal]]="Success","Close","Part"))</f>
        <v>Open</v>
      </c>
      <c r="J62">
        <f>IF(B62="apartment",Inputs!$I$7,Inputs!$I$6)</f>
        <v>7.7999999999999996E-3</v>
      </c>
      <c r="K62">
        <f>PRODUCT(
  INDEX(fire_location[Probability],MATCH($B62,fire_location[fire_location],0)),
  INDEX(smoke_detection_apt[Probability],MATCH($C62,smoke_detection_apt[smoke_detection_apt],0)),
  INDEX(smoke_detection_corridor[Probability],MATCH($D62,smoke_detection_corridor[smoke_detection_corridor],0)),
  INDEX(sprinkler[Probability],MATCH($E62,sprinkler[sprinkler],0)),
  INDEX(manual_suppression[Probability],MATCH($F62,manual_suppression[manual_suppression],0)),
  INDEX(door_open[Probability],MATCH($G62,door_open[door_open],0)),
  INDEX(smoke_seal[Probability],MATCH($H62,smoke_seal[smoke_seal],0))
)</f>
        <v>2.44311795E-3</v>
      </c>
      <c r="L6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62" t="str">
        <f>event_tree[[#This Row],[ASET_scenario]]&amp;Inputs!$F$8</f>
        <v>X6</v>
      </c>
      <c r="N6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6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62" t="str">
        <f>event_tree[[#This Row],[fire_location]]&amp;Inputs!$F$8</f>
        <v>Apartment6</v>
      </c>
      <c r="Q6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62">
        <f>IF(event_tree[[#This Row],[fire_location]]="Apartment",Inputs!$F$11,Inputs!$F$12)</f>
        <v>60</v>
      </c>
      <c r="S62">
        <f>10+Inputs!$F$8</f>
        <v>16</v>
      </c>
      <c r="T6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62">
        <f>IF(event_tree[[#This Row],[fire_location]]="Apartment",Inputs!$F$12,Inputs!$F$11)</f>
        <v>600</v>
      </c>
      <c r="V62">
        <f>10+Inputs!$F$8</f>
        <v>16</v>
      </c>
      <c r="W62">
        <f>30</f>
        <v>30</v>
      </c>
      <c r="X62" t="str">
        <f>IF(event_tree[[#This Row],[ASET_scenario]]="X","extinguish",
   event_tree[[#This Row],[SOU_tdet]] + event_tree[[#This Row],[SOU_tpre]] + event_tree[[#This Row],[tnot]])</f>
        <v>extinguish</v>
      </c>
      <c r="Y62" t="str">
        <f>IF(event_tree[[#This Row],[ASET_scenario]]="X","extinguish",
   event_tree[[#This Row],[SOU_inside_RSET]] + event_tree[[#This Row],[SOU_ttrav]])</f>
        <v>extinguish</v>
      </c>
      <c r="Z6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62" t="str">
        <f>IF(event_tree[[#This Row],[ASET_scenario]]="X","extinguish", event_tree[[#This Row],[apt_ASET]]/event_tree[[#This Row],[SOU_inside_RSET]])</f>
        <v>extinguish</v>
      </c>
      <c r="AB62" t="str">
        <f>IF(event_tree[[#This Row],[ASET_scenario]]="X","extinguish",event_tree[[#This Row],[cor_ASET]]/event_tree[[#This Row],[SOU_outside_RSET]])</f>
        <v>extinguish</v>
      </c>
      <c r="AC62" t="str">
        <f>IF(event_tree[[#This Row],[ASET_scenario]]="X","extinguish",event_tree[[#This Row],[cor_ASET]]/event_tree[[#This Row],[remote_RSET]])</f>
        <v>extinguish</v>
      </c>
      <c r="AD62" t="b">
        <f>IF(OR(event_tree[[#This Row],[SOU_inside_ratio]]&lt;1,event_tree[[#This Row],[SOU_outside_ratio]]&lt;1),2)</f>
        <v>0</v>
      </c>
      <c r="AE62" t="b">
        <f>IF(event_tree[[#This Row],[remote_ratio]]&lt;1,2*(Inputs!$F$5-1))</f>
        <v>0</v>
      </c>
      <c r="AF62">
        <f>event_tree[[#This Row],[SOU_casualty]]+event_tree[[#This Row],[remote_casualty]]</f>
        <v>0</v>
      </c>
      <c r="AG62">
        <f>event_tree[[#This Row],[fire_frequency]]*event_tree[[#This Row],[probability_of_scenario]]</f>
        <v>1.905632001E-5</v>
      </c>
      <c r="AH62">
        <f>event_tree[[#This Row],[total_casualty]]*event_tree[[#This Row],[fire_probability]]</f>
        <v>0</v>
      </c>
    </row>
    <row r="63" spans="1:34" x14ac:dyDescent="0.25">
      <c r="A63">
        <v>62</v>
      </c>
      <c r="B63" t="str" cm="1">
        <f t="array" ref="B6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3" t="str" cm="1">
        <f t="array" ref="C6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3" t="str" cm="1">
        <f t="array" ref="D6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3" t="str" cm="1">
        <f t="array" ref="E63">INDEX(sprinkler[sprinkler],
  1+MOD(QUOTIENT(ROW()-ROW($B$2),
     ROWS(manual_suppression[manual_suppression])*
     ROWS(door_open[door_open])*
     ROWS(smoke_seal[smoke_seal])
  ),
  ROWS(sprinkler[sprinkler]))
)</f>
        <v>Control</v>
      </c>
      <c r="F63" t="str" cm="1">
        <f t="array" ref="F63">INDEX(manual_suppression[manual_suppression],
  1+MOD(QUOTIENT(ROW()-ROW($B$2),
     ROWS(door_open[door_open])*
     ROWS(smoke_seal[smoke_seal])
  ),
  ROWS(manual_suppression[manual_suppression]))
)</f>
        <v>Suppress</v>
      </c>
      <c r="G63" t="str" cm="1">
        <f t="array" ref="G63">INDEX(door_open[door_open],
  1+MOD(QUOTIENT(ROW()-ROW($B$2),
     ROWS(smoke_seal[smoke_seal])
  ),
  ROWS(door_open[door_open]))
)</f>
        <v>Open</v>
      </c>
      <c r="H63" t="str" cm="1">
        <f t="array" ref="H63">INDEX(smoke_seal[smoke_seal],
  1+MOD(ROW()-ROW($B$2), ROWS(smoke_seal[smoke_seal]))
)</f>
        <v>Success</v>
      </c>
      <c r="I63" t="str">
        <f>IF(event_tree[[#This Row],[door_open]]="Open","Open",IF(event_tree[[#This Row],[smoke_seal]]="Success","Close","Part"))</f>
        <v>Open</v>
      </c>
      <c r="J63">
        <f>IF(B63="apartment",Inputs!$I$7,Inputs!$I$6)</f>
        <v>7.7999999999999996E-3</v>
      </c>
      <c r="K63">
        <f>PRODUCT(
  INDEX(fire_location[Probability],MATCH($B63,fire_location[fire_location],0)),
  INDEX(smoke_detection_apt[Probability],MATCH($C63,smoke_detection_apt[smoke_detection_apt],0)),
  INDEX(smoke_detection_corridor[Probability],MATCH($D63,smoke_detection_corridor[smoke_detection_corridor],0)),
  INDEX(sprinkler[Probability],MATCH($E63,sprinkler[sprinkler],0)),
  INDEX(manual_suppression[Probability],MATCH($F63,manual_suppression[manual_suppression],0)),
  INDEX(door_open[Probability],MATCH($G63,door_open[door_open],0)),
  INDEX(smoke_seal[Probability],MATCH($H63,smoke_seal[smoke_seal],0))
)</f>
        <v>4.5372190500000001E-3</v>
      </c>
      <c r="L6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63" t="str">
        <f>event_tree[[#This Row],[ASET_scenario]]&amp;Inputs!$F$8</f>
        <v>X6</v>
      </c>
      <c r="N6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6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63" t="str">
        <f>event_tree[[#This Row],[fire_location]]&amp;Inputs!$F$8</f>
        <v>Apartment6</v>
      </c>
      <c r="Q6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63">
        <f>IF(event_tree[[#This Row],[fire_location]]="Apartment",Inputs!$F$11,Inputs!$F$12)</f>
        <v>60</v>
      </c>
      <c r="S63">
        <f>10+Inputs!$F$8</f>
        <v>16</v>
      </c>
      <c r="T6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63">
        <f>IF(event_tree[[#This Row],[fire_location]]="Apartment",Inputs!$F$12,Inputs!$F$11)</f>
        <v>600</v>
      </c>
      <c r="V63">
        <f>10+Inputs!$F$8</f>
        <v>16</v>
      </c>
      <c r="W63">
        <f>30</f>
        <v>30</v>
      </c>
      <c r="X63" t="str">
        <f>IF(event_tree[[#This Row],[ASET_scenario]]="X","extinguish",
   event_tree[[#This Row],[SOU_tdet]] + event_tree[[#This Row],[SOU_tpre]] + event_tree[[#This Row],[tnot]])</f>
        <v>extinguish</v>
      </c>
      <c r="Y63" t="str">
        <f>IF(event_tree[[#This Row],[ASET_scenario]]="X","extinguish",
   event_tree[[#This Row],[SOU_inside_RSET]] + event_tree[[#This Row],[SOU_ttrav]])</f>
        <v>extinguish</v>
      </c>
      <c r="Z6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63" t="str">
        <f>IF(event_tree[[#This Row],[ASET_scenario]]="X","extinguish", event_tree[[#This Row],[apt_ASET]]/event_tree[[#This Row],[SOU_inside_RSET]])</f>
        <v>extinguish</v>
      </c>
      <c r="AB63" t="str">
        <f>IF(event_tree[[#This Row],[ASET_scenario]]="X","extinguish",event_tree[[#This Row],[cor_ASET]]/event_tree[[#This Row],[SOU_outside_RSET]])</f>
        <v>extinguish</v>
      </c>
      <c r="AC63" t="str">
        <f>IF(event_tree[[#This Row],[ASET_scenario]]="X","extinguish",event_tree[[#This Row],[cor_ASET]]/event_tree[[#This Row],[remote_RSET]])</f>
        <v>extinguish</v>
      </c>
      <c r="AD63" t="b">
        <f>IF(OR(event_tree[[#This Row],[SOU_inside_ratio]]&lt;1,event_tree[[#This Row],[SOU_outside_ratio]]&lt;1),2)</f>
        <v>0</v>
      </c>
      <c r="AE63" t="b">
        <f>IF(event_tree[[#This Row],[remote_ratio]]&lt;1,2*(Inputs!$F$5-1))</f>
        <v>0</v>
      </c>
      <c r="AF63">
        <f>event_tree[[#This Row],[SOU_casualty]]+event_tree[[#This Row],[remote_casualty]]</f>
        <v>0</v>
      </c>
      <c r="AG63">
        <f>event_tree[[#This Row],[fire_frequency]]*event_tree[[#This Row],[probability_of_scenario]]</f>
        <v>3.5390308590000001E-5</v>
      </c>
      <c r="AH63">
        <f>event_tree[[#This Row],[total_casualty]]*event_tree[[#This Row],[fire_probability]]</f>
        <v>0</v>
      </c>
    </row>
    <row r="64" spans="1:34" x14ac:dyDescent="0.25">
      <c r="A64">
        <v>63</v>
      </c>
      <c r="B64" t="str" cm="1">
        <f t="array" ref="B6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4" t="str" cm="1">
        <f t="array" ref="C6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4" t="str" cm="1">
        <f t="array" ref="D6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4" t="str" cm="1">
        <f t="array" ref="E64">INDEX(sprinkler[sprinkler],
  1+MOD(QUOTIENT(ROW()-ROW($B$2),
     ROWS(manual_suppression[manual_suppression])*
     ROWS(door_open[door_open])*
     ROWS(smoke_seal[smoke_seal])
  ),
  ROWS(sprinkler[sprinkler]))
)</f>
        <v>Control</v>
      </c>
      <c r="F64" t="str" cm="1">
        <f t="array" ref="F64">INDEX(manual_suppression[manual_suppression],
  1+MOD(QUOTIENT(ROW()-ROW($B$2),
     ROWS(door_open[door_open])*
     ROWS(smoke_seal[smoke_seal])
  ),
  ROWS(manual_suppression[manual_suppression]))
)</f>
        <v>Suppress</v>
      </c>
      <c r="G64" t="str" cm="1">
        <f t="array" ref="G64">INDEX(door_open[door_open],
  1+MOD(QUOTIENT(ROW()-ROW($B$2),
     ROWS(smoke_seal[smoke_seal])
  ),
  ROWS(door_open[door_open]))
)</f>
        <v>Closed</v>
      </c>
      <c r="H64" t="str" cm="1">
        <f t="array" ref="H64">INDEX(smoke_seal[smoke_seal],
  1+MOD(ROW()-ROW($B$2), ROWS(smoke_seal[smoke_seal]))
)</f>
        <v>Fail</v>
      </c>
      <c r="I64" t="str">
        <f>IF(event_tree[[#This Row],[door_open]]="Open","Open",IF(event_tree[[#This Row],[smoke_seal]]="Success","Close","Part"))</f>
        <v>Part</v>
      </c>
      <c r="J64">
        <f>IF(B64="apartment",Inputs!$I$7,Inputs!$I$6)</f>
        <v>7.7999999999999996E-3</v>
      </c>
      <c r="K64">
        <f>PRODUCT(
  INDEX(fire_location[Probability],MATCH($B64,fire_location[fire_location],0)),
  INDEX(smoke_detection_apt[Probability],MATCH($C64,smoke_detection_apt[smoke_detection_apt],0)),
  INDEX(smoke_detection_corridor[Probability],MATCH($D64,smoke_detection_corridor[smoke_detection_corridor],0)),
  INDEX(sprinkler[Probability],MATCH($E64,sprinkler[sprinkler],0)),
  INDEX(manual_suppression[Probability],MATCH($F64,manual_suppression[manual_suppression],0)),
  INDEX(door_open[Probability],MATCH($G64,door_open[door_open],0)),
  INDEX(smoke_seal[Probability],MATCH($H64,smoke_seal[smoke_seal],0))
)</f>
        <v>5.7006085499999998E-3</v>
      </c>
      <c r="L6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64" t="str">
        <f>event_tree[[#This Row],[ASET_scenario]]&amp;Inputs!$F$8</f>
        <v>X6</v>
      </c>
      <c r="N6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6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64" t="str">
        <f>event_tree[[#This Row],[fire_location]]&amp;Inputs!$F$8</f>
        <v>Apartment6</v>
      </c>
      <c r="Q6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64">
        <f>IF(event_tree[[#This Row],[fire_location]]="Apartment",Inputs!$F$11,Inputs!$F$12)</f>
        <v>60</v>
      </c>
      <c r="S64">
        <f>10+Inputs!$F$8</f>
        <v>16</v>
      </c>
      <c r="T6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64">
        <f>IF(event_tree[[#This Row],[fire_location]]="Apartment",Inputs!$F$12,Inputs!$F$11)</f>
        <v>600</v>
      </c>
      <c r="V64">
        <f>10+Inputs!$F$8</f>
        <v>16</v>
      </c>
      <c r="W64">
        <f>30</f>
        <v>30</v>
      </c>
      <c r="X64" t="str">
        <f>IF(event_tree[[#This Row],[ASET_scenario]]="X","extinguish",
   event_tree[[#This Row],[SOU_tdet]] + event_tree[[#This Row],[SOU_tpre]] + event_tree[[#This Row],[tnot]])</f>
        <v>extinguish</v>
      </c>
      <c r="Y64" t="str">
        <f>IF(event_tree[[#This Row],[ASET_scenario]]="X","extinguish",
   event_tree[[#This Row],[SOU_inside_RSET]] + event_tree[[#This Row],[SOU_ttrav]])</f>
        <v>extinguish</v>
      </c>
      <c r="Z6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64" t="str">
        <f>IF(event_tree[[#This Row],[ASET_scenario]]="X","extinguish", event_tree[[#This Row],[apt_ASET]]/event_tree[[#This Row],[SOU_inside_RSET]])</f>
        <v>extinguish</v>
      </c>
      <c r="AB64" t="str">
        <f>IF(event_tree[[#This Row],[ASET_scenario]]="X","extinguish",event_tree[[#This Row],[cor_ASET]]/event_tree[[#This Row],[SOU_outside_RSET]])</f>
        <v>extinguish</v>
      </c>
      <c r="AC64" t="str">
        <f>IF(event_tree[[#This Row],[ASET_scenario]]="X","extinguish",event_tree[[#This Row],[cor_ASET]]/event_tree[[#This Row],[remote_RSET]])</f>
        <v>extinguish</v>
      </c>
      <c r="AD64" t="b">
        <f>IF(OR(event_tree[[#This Row],[SOU_inside_ratio]]&lt;1,event_tree[[#This Row],[SOU_outside_ratio]]&lt;1),2)</f>
        <v>0</v>
      </c>
      <c r="AE64" t="b">
        <f>IF(event_tree[[#This Row],[remote_ratio]]&lt;1,2*(Inputs!$F$5-1))</f>
        <v>0</v>
      </c>
      <c r="AF64">
        <f>event_tree[[#This Row],[SOU_casualty]]+event_tree[[#This Row],[remote_casualty]]</f>
        <v>0</v>
      </c>
      <c r="AG64">
        <f>event_tree[[#This Row],[fire_frequency]]*event_tree[[#This Row],[probability_of_scenario]]</f>
        <v>4.4464746689999999E-5</v>
      </c>
      <c r="AH64">
        <f>event_tree[[#This Row],[total_casualty]]*event_tree[[#This Row],[fire_probability]]</f>
        <v>0</v>
      </c>
    </row>
    <row r="65" spans="1:34" x14ac:dyDescent="0.25">
      <c r="A65">
        <v>64</v>
      </c>
      <c r="B65" t="str" cm="1">
        <f t="array" ref="B6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5" t="str" cm="1">
        <f t="array" ref="C6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5" t="str" cm="1">
        <f t="array" ref="D6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5" t="str" cm="1">
        <f t="array" ref="E65">INDEX(sprinkler[sprinkler],
  1+MOD(QUOTIENT(ROW()-ROW($B$2),
     ROWS(manual_suppression[manual_suppression])*
     ROWS(door_open[door_open])*
     ROWS(smoke_seal[smoke_seal])
  ),
  ROWS(sprinkler[sprinkler]))
)</f>
        <v>Control</v>
      </c>
      <c r="F65" t="str" cm="1">
        <f t="array" ref="F65">INDEX(manual_suppression[manual_suppression],
  1+MOD(QUOTIENT(ROW()-ROW($B$2),
     ROWS(door_open[door_open])*
     ROWS(smoke_seal[smoke_seal])
  ),
  ROWS(manual_suppression[manual_suppression]))
)</f>
        <v>Suppress</v>
      </c>
      <c r="G65" t="str" cm="1">
        <f t="array" ref="G65">INDEX(door_open[door_open],
  1+MOD(QUOTIENT(ROW()-ROW($B$2),
     ROWS(smoke_seal[smoke_seal])
  ),
  ROWS(door_open[door_open]))
)</f>
        <v>Closed</v>
      </c>
      <c r="H65" t="str" cm="1">
        <f t="array" ref="H65">INDEX(smoke_seal[smoke_seal],
  1+MOD(ROW()-ROW($B$2), ROWS(smoke_seal[smoke_seal]))
)</f>
        <v>Success</v>
      </c>
      <c r="I65" t="str">
        <f>IF(event_tree[[#This Row],[door_open]]="Open","Open",IF(event_tree[[#This Row],[smoke_seal]]="Success","Close","Part"))</f>
        <v>Close</v>
      </c>
      <c r="J65">
        <f>IF(B65="apartment",Inputs!$I$7,Inputs!$I$6)</f>
        <v>7.7999999999999996E-3</v>
      </c>
      <c r="K65">
        <f>PRODUCT(
  INDEX(fire_location[Probability],MATCH($B65,fire_location[fire_location],0)),
  INDEX(smoke_detection_apt[Probability],MATCH($C65,smoke_detection_apt[smoke_detection_apt],0)),
  INDEX(smoke_detection_corridor[Probability],MATCH($D65,smoke_detection_corridor[smoke_detection_corridor],0)),
  INDEX(sprinkler[Probability],MATCH($E65,sprinkler[sprinkler],0)),
  INDEX(manual_suppression[Probability],MATCH($F65,manual_suppression[manual_suppression],0)),
  INDEX(door_open[Probability],MATCH($G65,door_open[door_open],0)),
  INDEX(smoke_seal[Probability],MATCH($H65,smoke_seal[smoke_seal],0))
)</f>
        <v>1.0586844450000001E-2</v>
      </c>
      <c r="L6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65" t="str">
        <f>event_tree[[#This Row],[ASET_scenario]]&amp;Inputs!$F$8</f>
        <v>X6</v>
      </c>
      <c r="N6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6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65" t="str">
        <f>event_tree[[#This Row],[fire_location]]&amp;Inputs!$F$8</f>
        <v>Apartment6</v>
      </c>
      <c r="Q6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65">
        <f>IF(event_tree[[#This Row],[fire_location]]="Apartment",Inputs!$F$11,Inputs!$F$12)</f>
        <v>60</v>
      </c>
      <c r="S65">
        <f>10+Inputs!$F$8</f>
        <v>16</v>
      </c>
      <c r="T6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65">
        <f>IF(event_tree[[#This Row],[fire_location]]="Apartment",Inputs!$F$12,Inputs!$F$11)</f>
        <v>600</v>
      </c>
      <c r="V65">
        <f>10+Inputs!$F$8</f>
        <v>16</v>
      </c>
      <c r="W65">
        <f>30</f>
        <v>30</v>
      </c>
      <c r="X65" t="str">
        <f>IF(event_tree[[#This Row],[ASET_scenario]]="X","extinguish",
   event_tree[[#This Row],[SOU_tdet]] + event_tree[[#This Row],[SOU_tpre]] + event_tree[[#This Row],[tnot]])</f>
        <v>extinguish</v>
      </c>
      <c r="Y65" t="str">
        <f>IF(event_tree[[#This Row],[ASET_scenario]]="X","extinguish",
   event_tree[[#This Row],[SOU_inside_RSET]] + event_tree[[#This Row],[SOU_ttrav]])</f>
        <v>extinguish</v>
      </c>
      <c r="Z6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65" t="str">
        <f>IF(event_tree[[#This Row],[ASET_scenario]]="X","extinguish", event_tree[[#This Row],[apt_ASET]]/event_tree[[#This Row],[SOU_inside_RSET]])</f>
        <v>extinguish</v>
      </c>
      <c r="AB65" t="str">
        <f>IF(event_tree[[#This Row],[ASET_scenario]]="X","extinguish",event_tree[[#This Row],[cor_ASET]]/event_tree[[#This Row],[SOU_outside_RSET]])</f>
        <v>extinguish</v>
      </c>
      <c r="AC65" t="str">
        <f>IF(event_tree[[#This Row],[ASET_scenario]]="X","extinguish",event_tree[[#This Row],[cor_ASET]]/event_tree[[#This Row],[remote_RSET]])</f>
        <v>extinguish</v>
      </c>
      <c r="AD65" t="b">
        <f>IF(OR(event_tree[[#This Row],[SOU_inside_ratio]]&lt;1,event_tree[[#This Row],[SOU_outside_ratio]]&lt;1),2)</f>
        <v>0</v>
      </c>
      <c r="AE65" t="b">
        <f>IF(event_tree[[#This Row],[remote_ratio]]&lt;1,2*(Inputs!$F$5-1))</f>
        <v>0</v>
      </c>
      <c r="AF65">
        <f>event_tree[[#This Row],[SOU_casualty]]+event_tree[[#This Row],[remote_casualty]]</f>
        <v>0</v>
      </c>
      <c r="AG65">
        <f>event_tree[[#This Row],[fire_frequency]]*event_tree[[#This Row],[probability_of_scenario]]</f>
        <v>8.2577386710000006E-5</v>
      </c>
      <c r="AH65">
        <f>event_tree[[#This Row],[total_casualty]]*event_tree[[#This Row],[fire_probability]]</f>
        <v>0</v>
      </c>
    </row>
    <row r="66" spans="1:34" x14ac:dyDescent="0.25">
      <c r="A66">
        <v>65</v>
      </c>
      <c r="B66" t="str" cm="1">
        <f t="array" ref="B6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6" t="str" cm="1">
        <f t="array" ref="C6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6" t="str" cm="1">
        <f t="array" ref="D6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6" t="str" cm="1">
        <f t="array" ref="E66">INDEX(sprinkler[sprinkler],
  1+MOD(QUOTIENT(ROW()-ROW($B$2),
     ROWS(manual_suppression[manual_suppression])*
     ROWS(door_open[door_open])*
     ROWS(smoke_seal[smoke_seal])
  ),
  ROWS(sprinkler[sprinkler]))
)</f>
        <v>Extinguish</v>
      </c>
      <c r="F66" t="str" cm="1">
        <f t="array" ref="F66">INDEX(manual_suppression[manual_suppression],
  1+MOD(QUOTIENT(ROW()-ROW($B$2),
     ROWS(door_open[door_open])*
     ROWS(smoke_seal[smoke_seal])
  ),
  ROWS(manual_suppression[manual_suppression]))
)</f>
        <v>Fail</v>
      </c>
      <c r="G66" t="str" cm="1">
        <f t="array" ref="G66">INDEX(door_open[door_open],
  1+MOD(QUOTIENT(ROW()-ROW($B$2),
     ROWS(smoke_seal[smoke_seal])
  ),
  ROWS(door_open[door_open]))
)</f>
        <v>Open</v>
      </c>
      <c r="H66" t="str" cm="1">
        <f t="array" ref="H66">INDEX(smoke_seal[smoke_seal],
  1+MOD(ROW()-ROW($B$2), ROWS(smoke_seal[smoke_seal]))
)</f>
        <v>Fail</v>
      </c>
      <c r="I66" t="str">
        <f>IF(event_tree[[#This Row],[door_open]]="Open","Open",IF(event_tree[[#This Row],[smoke_seal]]="Success","Close","Part"))</f>
        <v>Open</v>
      </c>
      <c r="J66">
        <f>IF(B66="apartment",Inputs!$I$7,Inputs!$I$6)</f>
        <v>7.7999999999999996E-3</v>
      </c>
      <c r="K66">
        <f>PRODUCT(
  INDEX(fire_location[Probability],MATCH($B66,fire_location[fire_location],0)),
  INDEX(smoke_detection_apt[Probability],MATCH($C66,smoke_detection_apt[smoke_detection_apt],0)),
  INDEX(smoke_detection_corridor[Probability],MATCH($D66,smoke_detection_corridor[smoke_detection_corridor],0)),
  INDEX(sprinkler[Probability],MATCH($E66,sprinkler[sprinkler],0)),
  INDEX(manual_suppression[Probability],MATCH($F66,manual_suppression[manual_suppression],0)),
  INDEX(door_open[Probability],MATCH($G66,door_open[door_open],0)),
  INDEX(smoke_seal[Probability],MATCH($H66,smoke_seal[smoke_seal],0))
)</f>
        <v>1.5034572E-3</v>
      </c>
      <c r="L6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66" t="str">
        <f>event_tree[[#This Row],[ASET_scenario]]&amp;Inputs!$F$8</f>
        <v>X6</v>
      </c>
      <c r="N6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6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66" t="str">
        <f>event_tree[[#This Row],[fire_location]]&amp;Inputs!$F$8</f>
        <v>Apartment6</v>
      </c>
      <c r="Q6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66">
        <f>IF(event_tree[[#This Row],[fire_location]]="Apartment",Inputs!$F$11,Inputs!$F$12)</f>
        <v>60</v>
      </c>
      <c r="S66">
        <f>10+Inputs!$F$8</f>
        <v>16</v>
      </c>
      <c r="T6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66">
        <f>IF(event_tree[[#This Row],[fire_location]]="Apartment",Inputs!$F$12,Inputs!$F$11)</f>
        <v>600</v>
      </c>
      <c r="V66">
        <f>10+Inputs!$F$8</f>
        <v>16</v>
      </c>
      <c r="W66">
        <f>30</f>
        <v>30</v>
      </c>
      <c r="X66" t="str">
        <f>IF(event_tree[[#This Row],[ASET_scenario]]="X","extinguish",
   event_tree[[#This Row],[SOU_tdet]] + event_tree[[#This Row],[SOU_tpre]] + event_tree[[#This Row],[tnot]])</f>
        <v>extinguish</v>
      </c>
      <c r="Y66" t="str">
        <f>IF(event_tree[[#This Row],[ASET_scenario]]="X","extinguish",
   event_tree[[#This Row],[SOU_inside_RSET]] + event_tree[[#This Row],[SOU_ttrav]])</f>
        <v>extinguish</v>
      </c>
      <c r="Z6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66" t="str">
        <f>IF(event_tree[[#This Row],[ASET_scenario]]="X","extinguish", event_tree[[#This Row],[apt_ASET]]/event_tree[[#This Row],[SOU_inside_RSET]])</f>
        <v>extinguish</v>
      </c>
      <c r="AB66" t="str">
        <f>IF(event_tree[[#This Row],[ASET_scenario]]="X","extinguish",event_tree[[#This Row],[cor_ASET]]/event_tree[[#This Row],[SOU_outside_RSET]])</f>
        <v>extinguish</v>
      </c>
      <c r="AC66" t="str">
        <f>IF(event_tree[[#This Row],[ASET_scenario]]="X","extinguish",event_tree[[#This Row],[cor_ASET]]/event_tree[[#This Row],[remote_RSET]])</f>
        <v>extinguish</v>
      </c>
      <c r="AD66" t="b">
        <f>IF(OR(event_tree[[#This Row],[SOU_inside_ratio]]&lt;1,event_tree[[#This Row],[SOU_outside_ratio]]&lt;1),2)</f>
        <v>0</v>
      </c>
      <c r="AE66" t="b">
        <f>IF(event_tree[[#This Row],[remote_ratio]]&lt;1,2*(Inputs!$F$5-1))</f>
        <v>0</v>
      </c>
      <c r="AF66">
        <f>event_tree[[#This Row],[SOU_casualty]]+event_tree[[#This Row],[remote_casualty]]</f>
        <v>0</v>
      </c>
      <c r="AG66">
        <f>event_tree[[#This Row],[fire_frequency]]*event_tree[[#This Row],[probability_of_scenario]]</f>
        <v>1.1726966159999999E-5</v>
      </c>
      <c r="AH66">
        <f>event_tree[[#This Row],[total_casualty]]*event_tree[[#This Row],[fire_probability]]</f>
        <v>0</v>
      </c>
    </row>
    <row r="67" spans="1:34" x14ac:dyDescent="0.25">
      <c r="A67">
        <v>66</v>
      </c>
      <c r="B67" t="str" cm="1">
        <f t="array" ref="B6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7" t="str" cm="1">
        <f t="array" ref="C6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7" t="str" cm="1">
        <f t="array" ref="D6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7" t="str" cm="1">
        <f t="array" ref="E67">INDEX(sprinkler[sprinkler],
  1+MOD(QUOTIENT(ROW()-ROW($B$2),
     ROWS(manual_suppression[manual_suppression])*
     ROWS(door_open[door_open])*
     ROWS(smoke_seal[smoke_seal])
  ),
  ROWS(sprinkler[sprinkler]))
)</f>
        <v>Extinguish</v>
      </c>
      <c r="F67" t="str" cm="1">
        <f t="array" ref="F67">INDEX(manual_suppression[manual_suppression],
  1+MOD(QUOTIENT(ROW()-ROW($B$2),
     ROWS(door_open[door_open])*
     ROWS(smoke_seal[smoke_seal])
  ),
  ROWS(manual_suppression[manual_suppression]))
)</f>
        <v>Fail</v>
      </c>
      <c r="G67" t="str" cm="1">
        <f t="array" ref="G67">INDEX(door_open[door_open],
  1+MOD(QUOTIENT(ROW()-ROW($B$2),
     ROWS(smoke_seal[smoke_seal])
  ),
  ROWS(door_open[door_open]))
)</f>
        <v>Open</v>
      </c>
      <c r="H67" t="str" cm="1">
        <f t="array" ref="H67">INDEX(smoke_seal[smoke_seal],
  1+MOD(ROW()-ROW($B$2), ROWS(smoke_seal[smoke_seal]))
)</f>
        <v>Success</v>
      </c>
      <c r="I67" t="str">
        <f>IF(event_tree[[#This Row],[door_open]]="Open","Open",IF(event_tree[[#This Row],[smoke_seal]]="Success","Close","Part"))</f>
        <v>Open</v>
      </c>
      <c r="J67">
        <f>IF(B67="apartment",Inputs!$I$7,Inputs!$I$6)</f>
        <v>7.7999999999999996E-3</v>
      </c>
      <c r="K67">
        <f>PRODUCT(
  INDEX(fire_location[Probability],MATCH($B67,fire_location[fire_location],0)),
  INDEX(smoke_detection_apt[Probability],MATCH($C67,smoke_detection_apt[smoke_detection_apt],0)),
  INDEX(smoke_detection_corridor[Probability],MATCH($D67,smoke_detection_corridor[smoke_detection_corridor],0)),
  INDEX(sprinkler[Probability],MATCH($E67,sprinkler[sprinkler],0)),
  INDEX(manual_suppression[Probability],MATCH($F67,manual_suppression[manual_suppression],0)),
  INDEX(door_open[Probability],MATCH($G67,door_open[door_open],0)),
  INDEX(smoke_seal[Probability],MATCH($H67,smoke_seal[smoke_seal],0))
)</f>
        <v>2.7921348000000002E-3</v>
      </c>
      <c r="L6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67" t="str">
        <f>event_tree[[#This Row],[ASET_scenario]]&amp;Inputs!$F$8</f>
        <v>X6</v>
      </c>
      <c r="N6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6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67" t="str">
        <f>event_tree[[#This Row],[fire_location]]&amp;Inputs!$F$8</f>
        <v>Apartment6</v>
      </c>
      <c r="Q6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67">
        <f>IF(event_tree[[#This Row],[fire_location]]="Apartment",Inputs!$F$11,Inputs!$F$12)</f>
        <v>60</v>
      </c>
      <c r="S67">
        <f>10+Inputs!$F$8</f>
        <v>16</v>
      </c>
      <c r="T6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67">
        <f>IF(event_tree[[#This Row],[fire_location]]="Apartment",Inputs!$F$12,Inputs!$F$11)</f>
        <v>600</v>
      </c>
      <c r="V67">
        <f>10+Inputs!$F$8</f>
        <v>16</v>
      </c>
      <c r="W67">
        <f>30</f>
        <v>30</v>
      </c>
      <c r="X67" t="str">
        <f>IF(event_tree[[#This Row],[ASET_scenario]]="X","extinguish",
   event_tree[[#This Row],[SOU_tdet]] + event_tree[[#This Row],[SOU_tpre]] + event_tree[[#This Row],[tnot]])</f>
        <v>extinguish</v>
      </c>
      <c r="Y67" t="str">
        <f>IF(event_tree[[#This Row],[ASET_scenario]]="X","extinguish",
   event_tree[[#This Row],[SOU_inside_RSET]] + event_tree[[#This Row],[SOU_ttrav]])</f>
        <v>extinguish</v>
      </c>
      <c r="Z6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67" t="str">
        <f>IF(event_tree[[#This Row],[ASET_scenario]]="X","extinguish", event_tree[[#This Row],[apt_ASET]]/event_tree[[#This Row],[SOU_inside_RSET]])</f>
        <v>extinguish</v>
      </c>
      <c r="AB67" t="str">
        <f>IF(event_tree[[#This Row],[ASET_scenario]]="X","extinguish",event_tree[[#This Row],[cor_ASET]]/event_tree[[#This Row],[SOU_outside_RSET]])</f>
        <v>extinguish</v>
      </c>
      <c r="AC67" t="str">
        <f>IF(event_tree[[#This Row],[ASET_scenario]]="X","extinguish",event_tree[[#This Row],[cor_ASET]]/event_tree[[#This Row],[remote_RSET]])</f>
        <v>extinguish</v>
      </c>
      <c r="AD67" t="b">
        <f>IF(OR(event_tree[[#This Row],[SOU_inside_ratio]]&lt;1,event_tree[[#This Row],[SOU_outside_ratio]]&lt;1),2)</f>
        <v>0</v>
      </c>
      <c r="AE67" t="b">
        <f>IF(event_tree[[#This Row],[remote_ratio]]&lt;1,2*(Inputs!$F$5-1))</f>
        <v>0</v>
      </c>
      <c r="AF67">
        <f>event_tree[[#This Row],[SOU_casualty]]+event_tree[[#This Row],[remote_casualty]]</f>
        <v>0</v>
      </c>
      <c r="AG67">
        <f>event_tree[[#This Row],[fire_frequency]]*event_tree[[#This Row],[probability_of_scenario]]</f>
        <v>2.177865144E-5</v>
      </c>
      <c r="AH67">
        <f>event_tree[[#This Row],[total_casualty]]*event_tree[[#This Row],[fire_probability]]</f>
        <v>0</v>
      </c>
    </row>
    <row r="68" spans="1:34" x14ac:dyDescent="0.25">
      <c r="A68">
        <v>67</v>
      </c>
      <c r="B68" t="str" cm="1">
        <f t="array" ref="B6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8" t="str" cm="1">
        <f t="array" ref="C6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8" t="str" cm="1">
        <f t="array" ref="D6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8" t="str" cm="1">
        <f t="array" ref="E68">INDEX(sprinkler[sprinkler],
  1+MOD(QUOTIENT(ROW()-ROW($B$2),
     ROWS(manual_suppression[manual_suppression])*
     ROWS(door_open[door_open])*
     ROWS(smoke_seal[smoke_seal])
  ),
  ROWS(sprinkler[sprinkler]))
)</f>
        <v>Extinguish</v>
      </c>
      <c r="F68" t="str" cm="1">
        <f t="array" ref="F68">INDEX(manual_suppression[manual_suppression],
  1+MOD(QUOTIENT(ROW()-ROW($B$2),
     ROWS(door_open[door_open])*
     ROWS(smoke_seal[smoke_seal])
  ),
  ROWS(manual_suppression[manual_suppression]))
)</f>
        <v>Fail</v>
      </c>
      <c r="G68" t="str" cm="1">
        <f t="array" ref="G68">INDEX(door_open[door_open],
  1+MOD(QUOTIENT(ROW()-ROW($B$2),
     ROWS(smoke_seal[smoke_seal])
  ),
  ROWS(door_open[door_open]))
)</f>
        <v>Closed</v>
      </c>
      <c r="H68" t="str" cm="1">
        <f t="array" ref="H68">INDEX(smoke_seal[smoke_seal],
  1+MOD(ROW()-ROW($B$2), ROWS(smoke_seal[smoke_seal]))
)</f>
        <v>Fail</v>
      </c>
      <c r="I68" t="str">
        <f>IF(event_tree[[#This Row],[door_open]]="Open","Open",IF(event_tree[[#This Row],[smoke_seal]]="Success","Close","Part"))</f>
        <v>Part</v>
      </c>
      <c r="J68">
        <f>IF(B68="apartment",Inputs!$I$7,Inputs!$I$6)</f>
        <v>7.7999999999999996E-3</v>
      </c>
      <c r="K68">
        <f>PRODUCT(
  INDEX(fire_location[Probability],MATCH($B68,fire_location[fire_location],0)),
  INDEX(smoke_detection_apt[Probability],MATCH($C68,smoke_detection_apt[smoke_detection_apt],0)),
  INDEX(smoke_detection_corridor[Probability],MATCH($D68,smoke_detection_corridor[smoke_detection_corridor],0)),
  INDEX(sprinkler[Probability],MATCH($E68,sprinkler[sprinkler],0)),
  INDEX(manual_suppression[Probability],MATCH($F68,manual_suppression[manual_suppression],0)),
  INDEX(door_open[Probability],MATCH($G68,door_open[door_open],0)),
  INDEX(smoke_seal[Probability],MATCH($H68,smoke_seal[smoke_seal],0))
)</f>
        <v>3.5080667999999996E-3</v>
      </c>
      <c r="L6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68" t="str">
        <f>event_tree[[#This Row],[ASET_scenario]]&amp;Inputs!$F$8</f>
        <v>X6</v>
      </c>
      <c r="N6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6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68" t="str">
        <f>event_tree[[#This Row],[fire_location]]&amp;Inputs!$F$8</f>
        <v>Apartment6</v>
      </c>
      <c r="Q6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68">
        <f>IF(event_tree[[#This Row],[fire_location]]="Apartment",Inputs!$F$11,Inputs!$F$12)</f>
        <v>60</v>
      </c>
      <c r="S68">
        <f>10+Inputs!$F$8</f>
        <v>16</v>
      </c>
      <c r="T6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68">
        <f>IF(event_tree[[#This Row],[fire_location]]="Apartment",Inputs!$F$12,Inputs!$F$11)</f>
        <v>600</v>
      </c>
      <c r="V68">
        <f>10+Inputs!$F$8</f>
        <v>16</v>
      </c>
      <c r="W68">
        <f>30</f>
        <v>30</v>
      </c>
      <c r="X68" t="str">
        <f>IF(event_tree[[#This Row],[ASET_scenario]]="X","extinguish",
   event_tree[[#This Row],[SOU_tdet]] + event_tree[[#This Row],[SOU_tpre]] + event_tree[[#This Row],[tnot]])</f>
        <v>extinguish</v>
      </c>
      <c r="Y68" t="str">
        <f>IF(event_tree[[#This Row],[ASET_scenario]]="X","extinguish",
   event_tree[[#This Row],[SOU_inside_RSET]] + event_tree[[#This Row],[SOU_ttrav]])</f>
        <v>extinguish</v>
      </c>
      <c r="Z6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68" t="str">
        <f>IF(event_tree[[#This Row],[ASET_scenario]]="X","extinguish", event_tree[[#This Row],[apt_ASET]]/event_tree[[#This Row],[SOU_inside_RSET]])</f>
        <v>extinguish</v>
      </c>
      <c r="AB68" t="str">
        <f>IF(event_tree[[#This Row],[ASET_scenario]]="X","extinguish",event_tree[[#This Row],[cor_ASET]]/event_tree[[#This Row],[SOU_outside_RSET]])</f>
        <v>extinguish</v>
      </c>
      <c r="AC68" t="str">
        <f>IF(event_tree[[#This Row],[ASET_scenario]]="X","extinguish",event_tree[[#This Row],[cor_ASET]]/event_tree[[#This Row],[remote_RSET]])</f>
        <v>extinguish</v>
      </c>
      <c r="AD68" t="b">
        <f>IF(OR(event_tree[[#This Row],[SOU_inside_ratio]]&lt;1,event_tree[[#This Row],[SOU_outside_ratio]]&lt;1),2)</f>
        <v>0</v>
      </c>
      <c r="AE68" t="b">
        <f>IF(event_tree[[#This Row],[remote_ratio]]&lt;1,2*(Inputs!$F$5-1))</f>
        <v>0</v>
      </c>
      <c r="AF68">
        <f>event_tree[[#This Row],[SOU_casualty]]+event_tree[[#This Row],[remote_casualty]]</f>
        <v>0</v>
      </c>
      <c r="AG68">
        <f>event_tree[[#This Row],[fire_frequency]]*event_tree[[#This Row],[probability_of_scenario]]</f>
        <v>2.7362921039999995E-5</v>
      </c>
      <c r="AH68">
        <f>event_tree[[#This Row],[total_casualty]]*event_tree[[#This Row],[fire_probability]]</f>
        <v>0</v>
      </c>
    </row>
    <row r="69" spans="1:34" x14ac:dyDescent="0.25">
      <c r="A69">
        <v>68</v>
      </c>
      <c r="B69" t="str" cm="1">
        <f t="array" ref="B6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69" t="str" cm="1">
        <f t="array" ref="C6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69" t="str" cm="1">
        <f t="array" ref="D6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69" t="str" cm="1">
        <f t="array" ref="E69">INDEX(sprinkler[sprinkler],
  1+MOD(QUOTIENT(ROW()-ROW($B$2),
     ROWS(manual_suppression[manual_suppression])*
     ROWS(door_open[door_open])*
     ROWS(smoke_seal[smoke_seal])
  ),
  ROWS(sprinkler[sprinkler]))
)</f>
        <v>Extinguish</v>
      </c>
      <c r="F69" t="str" cm="1">
        <f t="array" ref="F69">INDEX(manual_suppression[manual_suppression],
  1+MOD(QUOTIENT(ROW()-ROW($B$2),
     ROWS(door_open[door_open])*
     ROWS(smoke_seal[smoke_seal])
  ),
  ROWS(manual_suppression[manual_suppression]))
)</f>
        <v>Fail</v>
      </c>
      <c r="G69" t="str" cm="1">
        <f t="array" ref="G69">INDEX(door_open[door_open],
  1+MOD(QUOTIENT(ROW()-ROW($B$2),
     ROWS(smoke_seal[smoke_seal])
  ),
  ROWS(door_open[door_open]))
)</f>
        <v>Closed</v>
      </c>
      <c r="H69" t="str" cm="1">
        <f t="array" ref="H69">INDEX(smoke_seal[smoke_seal],
  1+MOD(ROW()-ROW($B$2), ROWS(smoke_seal[smoke_seal]))
)</f>
        <v>Success</v>
      </c>
      <c r="I69" t="str">
        <f>IF(event_tree[[#This Row],[door_open]]="Open","Open",IF(event_tree[[#This Row],[smoke_seal]]="Success","Close","Part"))</f>
        <v>Close</v>
      </c>
      <c r="J69">
        <f>IF(B69="apartment",Inputs!$I$7,Inputs!$I$6)</f>
        <v>7.7999999999999996E-3</v>
      </c>
      <c r="K69">
        <f>PRODUCT(
  INDEX(fire_location[Probability],MATCH($B69,fire_location[fire_location],0)),
  INDEX(smoke_detection_apt[Probability],MATCH($C69,smoke_detection_apt[smoke_detection_apt],0)),
  INDEX(smoke_detection_corridor[Probability],MATCH($D69,smoke_detection_corridor[smoke_detection_corridor],0)),
  INDEX(sprinkler[Probability],MATCH($E69,sprinkler[sprinkler],0)),
  INDEX(manual_suppression[Probability],MATCH($F69,manual_suppression[manual_suppression],0)),
  INDEX(door_open[Probability],MATCH($G69,door_open[door_open],0)),
  INDEX(smoke_seal[Probability],MATCH($H69,smoke_seal[smoke_seal],0))
)</f>
        <v>6.5149811999999996E-3</v>
      </c>
      <c r="L6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69" t="str">
        <f>event_tree[[#This Row],[ASET_scenario]]&amp;Inputs!$F$8</f>
        <v>X6</v>
      </c>
      <c r="N6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6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69" t="str">
        <f>event_tree[[#This Row],[fire_location]]&amp;Inputs!$F$8</f>
        <v>Apartment6</v>
      </c>
      <c r="Q6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69">
        <f>IF(event_tree[[#This Row],[fire_location]]="Apartment",Inputs!$F$11,Inputs!$F$12)</f>
        <v>60</v>
      </c>
      <c r="S69">
        <f>10+Inputs!$F$8</f>
        <v>16</v>
      </c>
      <c r="T6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69">
        <f>IF(event_tree[[#This Row],[fire_location]]="Apartment",Inputs!$F$12,Inputs!$F$11)</f>
        <v>600</v>
      </c>
      <c r="V69">
        <f>10+Inputs!$F$8</f>
        <v>16</v>
      </c>
      <c r="W69">
        <f>30</f>
        <v>30</v>
      </c>
      <c r="X69" t="str">
        <f>IF(event_tree[[#This Row],[ASET_scenario]]="X","extinguish",
   event_tree[[#This Row],[SOU_tdet]] + event_tree[[#This Row],[SOU_tpre]] + event_tree[[#This Row],[tnot]])</f>
        <v>extinguish</v>
      </c>
      <c r="Y69" t="str">
        <f>IF(event_tree[[#This Row],[ASET_scenario]]="X","extinguish",
   event_tree[[#This Row],[SOU_inside_RSET]] + event_tree[[#This Row],[SOU_ttrav]])</f>
        <v>extinguish</v>
      </c>
      <c r="Z6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69" t="str">
        <f>IF(event_tree[[#This Row],[ASET_scenario]]="X","extinguish", event_tree[[#This Row],[apt_ASET]]/event_tree[[#This Row],[SOU_inside_RSET]])</f>
        <v>extinguish</v>
      </c>
      <c r="AB69" t="str">
        <f>IF(event_tree[[#This Row],[ASET_scenario]]="X","extinguish",event_tree[[#This Row],[cor_ASET]]/event_tree[[#This Row],[SOU_outside_RSET]])</f>
        <v>extinguish</v>
      </c>
      <c r="AC69" t="str">
        <f>IF(event_tree[[#This Row],[ASET_scenario]]="X","extinguish",event_tree[[#This Row],[cor_ASET]]/event_tree[[#This Row],[remote_RSET]])</f>
        <v>extinguish</v>
      </c>
      <c r="AD69" t="b">
        <f>IF(OR(event_tree[[#This Row],[SOU_inside_ratio]]&lt;1,event_tree[[#This Row],[SOU_outside_ratio]]&lt;1),2)</f>
        <v>0</v>
      </c>
      <c r="AE69" t="b">
        <f>IF(event_tree[[#This Row],[remote_ratio]]&lt;1,2*(Inputs!$F$5-1))</f>
        <v>0</v>
      </c>
      <c r="AF69">
        <f>event_tree[[#This Row],[SOU_casualty]]+event_tree[[#This Row],[remote_casualty]]</f>
        <v>0</v>
      </c>
      <c r="AG69">
        <f>event_tree[[#This Row],[fire_frequency]]*event_tree[[#This Row],[probability_of_scenario]]</f>
        <v>5.0816853359999996E-5</v>
      </c>
      <c r="AH69">
        <f>event_tree[[#This Row],[total_casualty]]*event_tree[[#This Row],[fire_probability]]</f>
        <v>0</v>
      </c>
    </row>
    <row r="70" spans="1:34" x14ac:dyDescent="0.25">
      <c r="A70">
        <v>69</v>
      </c>
      <c r="B70" t="str" cm="1">
        <f t="array" ref="B7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0" t="str" cm="1">
        <f t="array" ref="C7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0" t="str" cm="1">
        <f t="array" ref="D7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70" t="str" cm="1">
        <f t="array" ref="E70">INDEX(sprinkler[sprinkler],
  1+MOD(QUOTIENT(ROW()-ROW($B$2),
     ROWS(manual_suppression[manual_suppression])*
     ROWS(door_open[door_open])*
     ROWS(smoke_seal[smoke_seal])
  ),
  ROWS(sprinkler[sprinkler]))
)</f>
        <v>Extinguish</v>
      </c>
      <c r="F70" t="str" cm="1">
        <f t="array" ref="F70">INDEX(manual_suppression[manual_suppression],
  1+MOD(QUOTIENT(ROW()-ROW($B$2),
     ROWS(door_open[door_open])*
     ROWS(smoke_seal[smoke_seal])
  ),
  ROWS(manual_suppression[manual_suppression]))
)</f>
        <v>Suppress</v>
      </c>
      <c r="G70" t="str" cm="1">
        <f t="array" ref="G70">INDEX(door_open[door_open],
  1+MOD(QUOTIENT(ROW()-ROW($B$2),
     ROWS(smoke_seal[smoke_seal])
  ),
  ROWS(door_open[door_open]))
)</f>
        <v>Open</v>
      </c>
      <c r="H70" t="str" cm="1">
        <f t="array" ref="H70">INDEX(smoke_seal[smoke_seal],
  1+MOD(ROW()-ROW($B$2), ROWS(smoke_seal[smoke_seal]))
)</f>
        <v>Fail</v>
      </c>
      <c r="I70" t="str">
        <f>IF(event_tree[[#This Row],[door_open]]="Open","Open",IF(event_tree[[#This Row],[smoke_seal]]="Success","Close","Part"))</f>
        <v>Open</v>
      </c>
      <c r="J70">
        <f>IF(B70="apartment",Inputs!$I$7,Inputs!$I$6)</f>
        <v>7.7999999999999996E-3</v>
      </c>
      <c r="K70">
        <f>PRODUCT(
  INDEX(fire_location[Probability],MATCH($B70,fire_location[fire_location],0)),
  INDEX(smoke_detection_apt[Probability],MATCH($C70,smoke_detection_apt[smoke_detection_apt],0)),
  INDEX(smoke_detection_corridor[Probability],MATCH($D70,smoke_detection_corridor[smoke_detection_corridor],0)),
  INDEX(sprinkler[Probability],MATCH($E70,sprinkler[sprinkler],0)),
  INDEX(manual_suppression[Probability],MATCH($F70,manual_suppression[manual_suppression],0)),
  INDEX(door_open[Probability],MATCH($G70,door_open[door_open],0)),
  INDEX(smoke_seal[Probability],MATCH($H70,smoke_seal[smoke_seal],0))
)</f>
        <v>2.7921348000000002E-3</v>
      </c>
      <c r="L7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70" t="str">
        <f>event_tree[[#This Row],[ASET_scenario]]&amp;Inputs!$F$8</f>
        <v>X6</v>
      </c>
      <c r="N7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7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70" t="str">
        <f>event_tree[[#This Row],[fire_location]]&amp;Inputs!$F$8</f>
        <v>Apartment6</v>
      </c>
      <c r="Q7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70">
        <f>IF(event_tree[[#This Row],[fire_location]]="Apartment",Inputs!$F$11,Inputs!$F$12)</f>
        <v>60</v>
      </c>
      <c r="S70">
        <f>10+Inputs!$F$8</f>
        <v>16</v>
      </c>
      <c r="T7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70">
        <f>IF(event_tree[[#This Row],[fire_location]]="Apartment",Inputs!$F$12,Inputs!$F$11)</f>
        <v>600</v>
      </c>
      <c r="V70">
        <f>10+Inputs!$F$8</f>
        <v>16</v>
      </c>
      <c r="W70">
        <f>30</f>
        <v>30</v>
      </c>
      <c r="X70" t="str">
        <f>IF(event_tree[[#This Row],[ASET_scenario]]="X","extinguish",
   event_tree[[#This Row],[SOU_tdet]] + event_tree[[#This Row],[SOU_tpre]] + event_tree[[#This Row],[tnot]])</f>
        <v>extinguish</v>
      </c>
      <c r="Y70" t="str">
        <f>IF(event_tree[[#This Row],[ASET_scenario]]="X","extinguish",
   event_tree[[#This Row],[SOU_inside_RSET]] + event_tree[[#This Row],[SOU_ttrav]])</f>
        <v>extinguish</v>
      </c>
      <c r="Z7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70" t="str">
        <f>IF(event_tree[[#This Row],[ASET_scenario]]="X","extinguish", event_tree[[#This Row],[apt_ASET]]/event_tree[[#This Row],[SOU_inside_RSET]])</f>
        <v>extinguish</v>
      </c>
      <c r="AB70" t="str">
        <f>IF(event_tree[[#This Row],[ASET_scenario]]="X","extinguish",event_tree[[#This Row],[cor_ASET]]/event_tree[[#This Row],[SOU_outside_RSET]])</f>
        <v>extinguish</v>
      </c>
      <c r="AC70" t="str">
        <f>IF(event_tree[[#This Row],[ASET_scenario]]="X","extinguish",event_tree[[#This Row],[cor_ASET]]/event_tree[[#This Row],[remote_RSET]])</f>
        <v>extinguish</v>
      </c>
      <c r="AD70" t="b">
        <f>IF(OR(event_tree[[#This Row],[SOU_inside_ratio]]&lt;1,event_tree[[#This Row],[SOU_outside_ratio]]&lt;1),2)</f>
        <v>0</v>
      </c>
      <c r="AE70" t="b">
        <f>IF(event_tree[[#This Row],[remote_ratio]]&lt;1,2*(Inputs!$F$5-1))</f>
        <v>0</v>
      </c>
      <c r="AF70">
        <f>event_tree[[#This Row],[SOU_casualty]]+event_tree[[#This Row],[remote_casualty]]</f>
        <v>0</v>
      </c>
      <c r="AG70">
        <f>event_tree[[#This Row],[fire_frequency]]*event_tree[[#This Row],[probability_of_scenario]]</f>
        <v>2.177865144E-5</v>
      </c>
      <c r="AH70">
        <f>event_tree[[#This Row],[total_casualty]]*event_tree[[#This Row],[fire_probability]]</f>
        <v>0</v>
      </c>
    </row>
    <row r="71" spans="1:34" x14ac:dyDescent="0.25">
      <c r="A71">
        <v>70</v>
      </c>
      <c r="B71" t="str" cm="1">
        <f t="array" ref="B7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1" t="str" cm="1">
        <f t="array" ref="C7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1" t="str" cm="1">
        <f t="array" ref="D7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71" t="str" cm="1">
        <f t="array" ref="E71">INDEX(sprinkler[sprinkler],
  1+MOD(QUOTIENT(ROW()-ROW($B$2),
     ROWS(manual_suppression[manual_suppression])*
     ROWS(door_open[door_open])*
     ROWS(smoke_seal[smoke_seal])
  ),
  ROWS(sprinkler[sprinkler]))
)</f>
        <v>Extinguish</v>
      </c>
      <c r="F71" t="str" cm="1">
        <f t="array" ref="F71">INDEX(manual_suppression[manual_suppression],
  1+MOD(QUOTIENT(ROW()-ROW($B$2),
     ROWS(door_open[door_open])*
     ROWS(smoke_seal[smoke_seal])
  ),
  ROWS(manual_suppression[manual_suppression]))
)</f>
        <v>Suppress</v>
      </c>
      <c r="G71" t="str" cm="1">
        <f t="array" ref="G71">INDEX(door_open[door_open],
  1+MOD(QUOTIENT(ROW()-ROW($B$2),
     ROWS(smoke_seal[smoke_seal])
  ),
  ROWS(door_open[door_open]))
)</f>
        <v>Open</v>
      </c>
      <c r="H71" t="str" cm="1">
        <f t="array" ref="H71">INDEX(smoke_seal[smoke_seal],
  1+MOD(ROW()-ROW($B$2), ROWS(smoke_seal[smoke_seal]))
)</f>
        <v>Success</v>
      </c>
      <c r="I71" t="str">
        <f>IF(event_tree[[#This Row],[door_open]]="Open","Open",IF(event_tree[[#This Row],[smoke_seal]]="Success","Close","Part"))</f>
        <v>Open</v>
      </c>
      <c r="J71">
        <f>IF(B71="apartment",Inputs!$I$7,Inputs!$I$6)</f>
        <v>7.7999999999999996E-3</v>
      </c>
      <c r="K71">
        <f>PRODUCT(
  INDEX(fire_location[Probability],MATCH($B71,fire_location[fire_location],0)),
  INDEX(smoke_detection_apt[Probability],MATCH($C71,smoke_detection_apt[smoke_detection_apt],0)),
  INDEX(smoke_detection_corridor[Probability],MATCH($D71,smoke_detection_corridor[smoke_detection_corridor],0)),
  INDEX(sprinkler[Probability],MATCH($E71,sprinkler[sprinkler],0)),
  INDEX(manual_suppression[Probability],MATCH($F71,manual_suppression[manual_suppression],0)),
  INDEX(door_open[Probability],MATCH($G71,door_open[door_open],0)),
  INDEX(smoke_seal[Probability],MATCH($H71,smoke_seal[smoke_seal],0))
)</f>
        <v>5.1853932000000009E-3</v>
      </c>
      <c r="L7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71" t="str">
        <f>event_tree[[#This Row],[ASET_scenario]]&amp;Inputs!$F$8</f>
        <v>X6</v>
      </c>
      <c r="N7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7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71" t="str">
        <f>event_tree[[#This Row],[fire_location]]&amp;Inputs!$F$8</f>
        <v>Apartment6</v>
      </c>
      <c r="Q7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71">
        <f>IF(event_tree[[#This Row],[fire_location]]="Apartment",Inputs!$F$11,Inputs!$F$12)</f>
        <v>60</v>
      </c>
      <c r="S71">
        <f>10+Inputs!$F$8</f>
        <v>16</v>
      </c>
      <c r="T7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71">
        <f>IF(event_tree[[#This Row],[fire_location]]="Apartment",Inputs!$F$12,Inputs!$F$11)</f>
        <v>600</v>
      </c>
      <c r="V71">
        <f>10+Inputs!$F$8</f>
        <v>16</v>
      </c>
      <c r="W71">
        <f>30</f>
        <v>30</v>
      </c>
      <c r="X71" t="str">
        <f>IF(event_tree[[#This Row],[ASET_scenario]]="X","extinguish",
   event_tree[[#This Row],[SOU_tdet]] + event_tree[[#This Row],[SOU_tpre]] + event_tree[[#This Row],[tnot]])</f>
        <v>extinguish</v>
      </c>
      <c r="Y71" t="str">
        <f>IF(event_tree[[#This Row],[ASET_scenario]]="X","extinguish",
   event_tree[[#This Row],[SOU_inside_RSET]] + event_tree[[#This Row],[SOU_ttrav]])</f>
        <v>extinguish</v>
      </c>
      <c r="Z7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71" t="str">
        <f>IF(event_tree[[#This Row],[ASET_scenario]]="X","extinguish", event_tree[[#This Row],[apt_ASET]]/event_tree[[#This Row],[SOU_inside_RSET]])</f>
        <v>extinguish</v>
      </c>
      <c r="AB71" t="str">
        <f>IF(event_tree[[#This Row],[ASET_scenario]]="X","extinguish",event_tree[[#This Row],[cor_ASET]]/event_tree[[#This Row],[SOU_outside_RSET]])</f>
        <v>extinguish</v>
      </c>
      <c r="AC71" t="str">
        <f>IF(event_tree[[#This Row],[ASET_scenario]]="X","extinguish",event_tree[[#This Row],[cor_ASET]]/event_tree[[#This Row],[remote_RSET]])</f>
        <v>extinguish</v>
      </c>
      <c r="AD71" t="b">
        <f>IF(OR(event_tree[[#This Row],[SOU_inside_ratio]]&lt;1,event_tree[[#This Row],[SOU_outside_ratio]]&lt;1),2)</f>
        <v>0</v>
      </c>
      <c r="AE71" t="b">
        <f>IF(event_tree[[#This Row],[remote_ratio]]&lt;1,2*(Inputs!$F$5-1))</f>
        <v>0</v>
      </c>
      <c r="AF71">
        <f>event_tree[[#This Row],[SOU_casualty]]+event_tree[[#This Row],[remote_casualty]]</f>
        <v>0</v>
      </c>
      <c r="AG71">
        <f>event_tree[[#This Row],[fire_frequency]]*event_tree[[#This Row],[probability_of_scenario]]</f>
        <v>4.0446066960000003E-5</v>
      </c>
      <c r="AH71">
        <f>event_tree[[#This Row],[total_casualty]]*event_tree[[#This Row],[fire_probability]]</f>
        <v>0</v>
      </c>
    </row>
    <row r="72" spans="1:34" x14ac:dyDescent="0.25">
      <c r="A72">
        <v>71</v>
      </c>
      <c r="B72" t="str" cm="1">
        <f t="array" ref="B7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2" t="str" cm="1">
        <f t="array" ref="C7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2" t="str" cm="1">
        <f t="array" ref="D7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72" t="str" cm="1">
        <f t="array" ref="E72">INDEX(sprinkler[sprinkler],
  1+MOD(QUOTIENT(ROW()-ROW($B$2),
     ROWS(manual_suppression[manual_suppression])*
     ROWS(door_open[door_open])*
     ROWS(smoke_seal[smoke_seal])
  ),
  ROWS(sprinkler[sprinkler]))
)</f>
        <v>Extinguish</v>
      </c>
      <c r="F72" t="str" cm="1">
        <f t="array" ref="F72">INDEX(manual_suppression[manual_suppression],
  1+MOD(QUOTIENT(ROW()-ROW($B$2),
     ROWS(door_open[door_open])*
     ROWS(smoke_seal[smoke_seal])
  ),
  ROWS(manual_suppression[manual_suppression]))
)</f>
        <v>Suppress</v>
      </c>
      <c r="G72" t="str" cm="1">
        <f t="array" ref="G72">INDEX(door_open[door_open],
  1+MOD(QUOTIENT(ROW()-ROW($B$2),
     ROWS(smoke_seal[smoke_seal])
  ),
  ROWS(door_open[door_open]))
)</f>
        <v>Closed</v>
      </c>
      <c r="H72" t="str" cm="1">
        <f t="array" ref="H72">INDEX(smoke_seal[smoke_seal],
  1+MOD(ROW()-ROW($B$2), ROWS(smoke_seal[smoke_seal]))
)</f>
        <v>Fail</v>
      </c>
      <c r="I72" t="str">
        <f>IF(event_tree[[#This Row],[door_open]]="Open","Open",IF(event_tree[[#This Row],[smoke_seal]]="Success","Close","Part"))</f>
        <v>Part</v>
      </c>
      <c r="J72">
        <f>IF(B72="apartment",Inputs!$I$7,Inputs!$I$6)</f>
        <v>7.7999999999999996E-3</v>
      </c>
      <c r="K72">
        <f>PRODUCT(
  INDEX(fire_location[Probability],MATCH($B72,fire_location[fire_location],0)),
  INDEX(smoke_detection_apt[Probability],MATCH($C72,smoke_detection_apt[smoke_detection_apt],0)),
  INDEX(smoke_detection_corridor[Probability],MATCH($D72,smoke_detection_corridor[smoke_detection_corridor],0)),
  INDEX(sprinkler[Probability],MATCH($E72,sprinkler[sprinkler],0)),
  INDEX(manual_suppression[Probability],MATCH($F72,manual_suppression[manual_suppression],0)),
  INDEX(door_open[Probability],MATCH($G72,door_open[door_open],0)),
  INDEX(smoke_seal[Probability],MATCH($H72,smoke_seal[smoke_seal],0))
)</f>
        <v>6.5149812000000005E-3</v>
      </c>
      <c r="L7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72" t="str">
        <f>event_tree[[#This Row],[ASET_scenario]]&amp;Inputs!$F$8</f>
        <v>X6</v>
      </c>
      <c r="N7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7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72" t="str">
        <f>event_tree[[#This Row],[fire_location]]&amp;Inputs!$F$8</f>
        <v>Apartment6</v>
      </c>
      <c r="Q7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72">
        <f>IF(event_tree[[#This Row],[fire_location]]="Apartment",Inputs!$F$11,Inputs!$F$12)</f>
        <v>60</v>
      </c>
      <c r="S72">
        <f>10+Inputs!$F$8</f>
        <v>16</v>
      </c>
      <c r="T7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72">
        <f>IF(event_tree[[#This Row],[fire_location]]="Apartment",Inputs!$F$12,Inputs!$F$11)</f>
        <v>600</v>
      </c>
      <c r="V72">
        <f>10+Inputs!$F$8</f>
        <v>16</v>
      </c>
      <c r="W72">
        <f>30</f>
        <v>30</v>
      </c>
      <c r="X72" t="str">
        <f>IF(event_tree[[#This Row],[ASET_scenario]]="X","extinguish",
   event_tree[[#This Row],[SOU_tdet]] + event_tree[[#This Row],[SOU_tpre]] + event_tree[[#This Row],[tnot]])</f>
        <v>extinguish</v>
      </c>
      <c r="Y72" t="str">
        <f>IF(event_tree[[#This Row],[ASET_scenario]]="X","extinguish",
   event_tree[[#This Row],[SOU_inside_RSET]] + event_tree[[#This Row],[SOU_ttrav]])</f>
        <v>extinguish</v>
      </c>
      <c r="Z7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72" t="str">
        <f>IF(event_tree[[#This Row],[ASET_scenario]]="X","extinguish", event_tree[[#This Row],[apt_ASET]]/event_tree[[#This Row],[SOU_inside_RSET]])</f>
        <v>extinguish</v>
      </c>
      <c r="AB72" t="str">
        <f>IF(event_tree[[#This Row],[ASET_scenario]]="X","extinguish",event_tree[[#This Row],[cor_ASET]]/event_tree[[#This Row],[SOU_outside_RSET]])</f>
        <v>extinguish</v>
      </c>
      <c r="AC72" t="str">
        <f>IF(event_tree[[#This Row],[ASET_scenario]]="X","extinguish",event_tree[[#This Row],[cor_ASET]]/event_tree[[#This Row],[remote_RSET]])</f>
        <v>extinguish</v>
      </c>
      <c r="AD72" t="b">
        <f>IF(OR(event_tree[[#This Row],[SOU_inside_ratio]]&lt;1,event_tree[[#This Row],[SOU_outside_ratio]]&lt;1),2)</f>
        <v>0</v>
      </c>
      <c r="AE72" t="b">
        <f>IF(event_tree[[#This Row],[remote_ratio]]&lt;1,2*(Inputs!$F$5-1))</f>
        <v>0</v>
      </c>
      <c r="AF72">
        <f>event_tree[[#This Row],[SOU_casualty]]+event_tree[[#This Row],[remote_casualty]]</f>
        <v>0</v>
      </c>
      <c r="AG72">
        <f>event_tree[[#This Row],[fire_frequency]]*event_tree[[#This Row],[probability_of_scenario]]</f>
        <v>5.0816853360000003E-5</v>
      </c>
      <c r="AH72">
        <f>event_tree[[#This Row],[total_casualty]]*event_tree[[#This Row],[fire_probability]]</f>
        <v>0</v>
      </c>
    </row>
    <row r="73" spans="1:34" x14ac:dyDescent="0.25">
      <c r="A73">
        <v>72</v>
      </c>
      <c r="B73" t="str" cm="1">
        <f t="array" ref="B7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3" t="str" cm="1">
        <f t="array" ref="C7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3" t="str" cm="1">
        <f t="array" ref="D7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73" t="str" cm="1">
        <f t="array" ref="E73">INDEX(sprinkler[sprinkler],
  1+MOD(QUOTIENT(ROW()-ROW($B$2),
     ROWS(manual_suppression[manual_suppression])*
     ROWS(door_open[door_open])*
     ROWS(smoke_seal[smoke_seal])
  ),
  ROWS(sprinkler[sprinkler]))
)</f>
        <v>Extinguish</v>
      </c>
      <c r="F73" t="str" cm="1">
        <f t="array" ref="F73">INDEX(manual_suppression[manual_suppression],
  1+MOD(QUOTIENT(ROW()-ROW($B$2),
     ROWS(door_open[door_open])*
     ROWS(smoke_seal[smoke_seal])
  ),
  ROWS(manual_suppression[manual_suppression]))
)</f>
        <v>Suppress</v>
      </c>
      <c r="G73" t="str" cm="1">
        <f t="array" ref="G73">INDEX(door_open[door_open],
  1+MOD(QUOTIENT(ROW()-ROW($B$2),
     ROWS(smoke_seal[smoke_seal])
  ),
  ROWS(door_open[door_open]))
)</f>
        <v>Closed</v>
      </c>
      <c r="H73" t="str" cm="1">
        <f t="array" ref="H73">INDEX(smoke_seal[smoke_seal],
  1+MOD(ROW()-ROW($B$2), ROWS(smoke_seal[smoke_seal]))
)</f>
        <v>Success</v>
      </c>
      <c r="I73" t="str">
        <f>IF(event_tree[[#This Row],[door_open]]="Open","Open",IF(event_tree[[#This Row],[smoke_seal]]="Success","Close","Part"))</f>
        <v>Close</v>
      </c>
      <c r="J73">
        <f>IF(B73="apartment",Inputs!$I$7,Inputs!$I$6)</f>
        <v>7.7999999999999996E-3</v>
      </c>
      <c r="K73">
        <f>PRODUCT(
  INDEX(fire_location[Probability],MATCH($B73,fire_location[fire_location],0)),
  INDEX(smoke_detection_apt[Probability],MATCH($C73,smoke_detection_apt[smoke_detection_apt],0)),
  INDEX(smoke_detection_corridor[Probability],MATCH($D73,smoke_detection_corridor[smoke_detection_corridor],0)),
  INDEX(sprinkler[Probability],MATCH($E73,sprinkler[sprinkler],0)),
  INDEX(manual_suppression[Probability],MATCH($F73,manual_suppression[manual_suppression],0)),
  INDEX(door_open[Probability],MATCH($G73,door_open[door_open],0)),
  INDEX(smoke_seal[Probability],MATCH($H73,smoke_seal[smoke_seal],0))
)</f>
        <v>1.2099250800000001E-2</v>
      </c>
      <c r="L7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73" t="str">
        <f>event_tree[[#This Row],[ASET_scenario]]&amp;Inputs!$F$8</f>
        <v>X6</v>
      </c>
      <c r="N7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7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73" t="str">
        <f>event_tree[[#This Row],[fire_location]]&amp;Inputs!$F$8</f>
        <v>Apartment6</v>
      </c>
      <c r="Q7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73">
        <f>IF(event_tree[[#This Row],[fire_location]]="Apartment",Inputs!$F$11,Inputs!$F$12)</f>
        <v>60</v>
      </c>
      <c r="S73">
        <f>10+Inputs!$F$8</f>
        <v>16</v>
      </c>
      <c r="T7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73">
        <f>IF(event_tree[[#This Row],[fire_location]]="Apartment",Inputs!$F$12,Inputs!$F$11)</f>
        <v>600</v>
      </c>
      <c r="V73">
        <f>10+Inputs!$F$8</f>
        <v>16</v>
      </c>
      <c r="W73">
        <f>30</f>
        <v>30</v>
      </c>
      <c r="X73" t="str">
        <f>IF(event_tree[[#This Row],[ASET_scenario]]="X","extinguish",
   event_tree[[#This Row],[SOU_tdet]] + event_tree[[#This Row],[SOU_tpre]] + event_tree[[#This Row],[tnot]])</f>
        <v>extinguish</v>
      </c>
      <c r="Y73" t="str">
        <f>IF(event_tree[[#This Row],[ASET_scenario]]="X","extinguish",
   event_tree[[#This Row],[SOU_inside_RSET]] + event_tree[[#This Row],[SOU_ttrav]])</f>
        <v>extinguish</v>
      </c>
      <c r="Z7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73" t="str">
        <f>IF(event_tree[[#This Row],[ASET_scenario]]="X","extinguish", event_tree[[#This Row],[apt_ASET]]/event_tree[[#This Row],[SOU_inside_RSET]])</f>
        <v>extinguish</v>
      </c>
      <c r="AB73" t="str">
        <f>IF(event_tree[[#This Row],[ASET_scenario]]="X","extinguish",event_tree[[#This Row],[cor_ASET]]/event_tree[[#This Row],[SOU_outside_RSET]])</f>
        <v>extinguish</v>
      </c>
      <c r="AC73" t="str">
        <f>IF(event_tree[[#This Row],[ASET_scenario]]="X","extinguish",event_tree[[#This Row],[cor_ASET]]/event_tree[[#This Row],[remote_RSET]])</f>
        <v>extinguish</v>
      </c>
      <c r="AD73" t="b">
        <f>IF(OR(event_tree[[#This Row],[SOU_inside_ratio]]&lt;1,event_tree[[#This Row],[SOU_outside_ratio]]&lt;1),2)</f>
        <v>0</v>
      </c>
      <c r="AE73" t="b">
        <f>IF(event_tree[[#This Row],[remote_ratio]]&lt;1,2*(Inputs!$F$5-1))</f>
        <v>0</v>
      </c>
      <c r="AF73">
        <f>event_tree[[#This Row],[SOU_casualty]]+event_tree[[#This Row],[remote_casualty]]</f>
        <v>0</v>
      </c>
      <c r="AG73">
        <f>event_tree[[#This Row],[fire_frequency]]*event_tree[[#This Row],[probability_of_scenario]]</f>
        <v>9.4374156239999997E-5</v>
      </c>
      <c r="AH73">
        <f>event_tree[[#This Row],[total_casualty]]*event_tree[[#This Row],[fire_probability]]</f>
        <v>0</v>
      </c>
    </row>
    <row r="74" spans="1:34" x14ac:dyDescent="0.25">
      <c r="A74">
        <v>73</v>
      </c>
      <c r="B74" t="str" cm="1">
        <f t="array" ref="B7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4" t="str" cm="1">
        <f t="array" ref="C7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4" t="str" cm="1">
        <f t="array" ref="D7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74" t="str" cm="1">
        <f t="array" ref="E74">INDEX(sprinkler[sprinkler],
  1+MOD(QUOTIENT(ROW()-ROW($B$2),
     ROWS(manual_suppression[manual_suppression])*
     ROWS(door_open[door_open])*
     ROWS(smoke_seal[smoke_seal])
  ),
  ROWS(sprinkler[sprinkler]))
)</f>
        <v>Fail</v>
      </c>
      <c r="F74" t="str" cm="1">
        <f t="array" ref="F74">INDEX(manual_suppression[manual_suppression],
  1+MOD(QUOTIENT(ROW()-ROW($B$2),
     ROWS(door_open[door_open])*
     ROWS(smoke_seal[smoke_seal])
  ),
  ROWS(manual_suppression[manual_suppression]))
)</f>
        <v>Fail</v>
      </c>
      <c r="G74" t="str" cm="1">
        <f t="array" ref="G74">INDEX(door_open[door_open],
  1+MOD(QUOTIENT(ROW()-ROW($B$2),
     ROWS(smoke_seal[smoke_seal])
  ),
  ROWS(door_open[door_open]))
)</f>
        <v>Open</v>
      </c>
      <c r="H74" t="str" cm="1">
        <f t="array" ref="H74">INDEX(smoke_seal[smoke_seal],
  1+MOD(ROW()-ROW($B$2), ROWS(smoke_seal[smoke_seal]))
)</f>
        <v>Fail</v>
      </c>
      <c r="I74" t="str">
        <f>IF(event_tree[[#This Row],[door_open]]="Open","Open",IF(event_tree[[#This Row],[smoke_seal]]="Success","Close","Part"))</f>
        <v>Open</v>
      </c>
      <c r="J74">
        <f>IF(B74="apartment",Inputs!$I$7,Inputs!$I$6)</f>
        <v>7.7999999999999996E-3</v>
      </c>
      <c r="K74">
        <f>PRODUCT(
  INDEX(fire_location[Probability],MATCH($B74,fire_location[fire_location],0)),
  INDEX(smoke_detection_apt[Probability],MATCH($C74,smoke_detection_apt[smoke_detection_apt],0)),
  INDEX(smoke_detection_corridor[Probability],MATCH($D74,smoke_detection_corridor[smoke_detection_corridor],0)),
  INDEX(sprinkler[Probability],MATCH($E74,sprinkler[sprinkler],0)),
  INDEX(manual_suppression[Probability],MATCH($F74,manual_suppression[manual_suppression],0)),
  INDEX(door_open[Probability],MATCH($G74,door_open[door_open],0)),
  INDEX(smoke_seal[Probability],MATCH($H74,smoke_seal[smoke_seal],0))
)</f>
        <v>3.480225E-5</v>
      </c>
      <c r="L7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A</v>
      </c>
      <c r="M74" t="str">
        <f>event_tree[[#This Row],[ASET_scenario]]&amp;Inputs!$F$8</f>
        <v>A6</v>
      </c>
      <c r="N74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74">
        <f>IF(OR(event_tree[[#This Row],[sprinkler]]="Extinguish",event_tree[[#This Row],[manual_suppression]]="Suppress"),"extinguish",_xlfn.XLOOKUP(event_tree[[#This Row],[ASET_helper1]],ASET_data[ASET_helper1],ASET_data[cor_ASET]))</f>
        <v>92</v>
      </c>
      <c r="P74" t="str">
        <f>event_tree[[#This Row],[fire_location]]&amp;Inputs!$F$8</f>
        <v>Apartment6</v>
      </c>
      <c r="Q7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74">
        <f>IF(event_tree[[#This Row],[fire_location]]="Apartment",Inputs!$F$11,Inputs!$F$12)</f>
        <v>60</v>
      </c>
      <c r="S74">
        <f>10+Inputs!$F$8</f>
        <v>16</v>
      </c>
      <c r="T7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74">
        <f>IF(event_tree[[#This Row],[fire_location]]="Apartment",Inputs!$F$12,Inputs!$F$11)</f>
        <v>600</v>
      </c>
      <c r="V74">
        <f>10+Inputs!$F$8</f>
        <v>16</v>
      </c>
      <c r="W74">
        <f>30</f>
        <v>30</v>
      </c>
      <c r="X74">
        <f>IF(event_tree[[#This Row],[ASET_scenario]]="X","extinguish",
   event_tree[[#This Row],[SOU_tdet]] + event_tree[[#This Row],[SOU_tpre]] + event_tree[[#This Row],[tnot]])</f>
        <v>990</v>
      </c>
      <c r="Y74">
        <f>IF(event_tree[[#This Row],[ASET_scenario]]="X","extinguish",
   event_tree[[#This Row],[SOU_inside_RSET]] + event_tree[[#This Row],[SOU_ttrav]])</f>
        <v>1006</v>
      </c>
      <c r="Z74">
        <f>IF(event_tree[[#This Row],[ASET_scenario]]="X","extinguish",
   event_tree[[#This Row],[remote_tdet]] + event_tree[[#This Row],[remote_tpre]] + event_tree[[#This Row],[remote_ttrav]] + event_tree[[#This Row],[tnot]])</f>
        <v>1546</v>
      </c>
      <c r="AA74">
        <f>IF(event_tree[[#This Row],[ASET_scenario]]="X","extinguish", event_tree[[#This Row],[apt_ASET]]/event_tree[[#This Row],[SOU_inside_RSET]])</f>
        <v>6.363636363636363E-2</v>
      </c>
      <c r="AB74">
        <f>IF(event_tree[[#This Row],[ASET_scenario]]="X","extinguish",event_tree[[#This Row],[cor_ASET]]/event_tree[[#This Row],[SOU_outside_RSET]])</f>
        <v>9.1451292246520877E-2</v>
      </c>
      <c r="AC74">
        <f>IF(event_tree[[#This Row],[ASET_scenario]]="X","extinguish",event_tree[[#This Row],[cor_ASET]]/event_tree[[#This Row],[remote_RSET]])</f>
        <v>5.9508408796895215E-2</v>
      </c>
      <c r="AD74">
        <f>IF(OR(event_tree[[#This Row],[SOU_inside_ratio]]&lt;1,event_tree[[#This Row],[SOU_outside_ratio]]&lt;1),2)</f>
        <v>2</v>
      </c>
      <c r="AE74">
        <f>IF(event_tree[[#This Row],[remote_ratio]]&lt;1,2*(Inputs!$F$5-1))</f>
        <v>10</v>
      </c>
      <c r="AF74">
        <f>event_tree[[#This Row],[SOU_casualty]]+event_tree[[#This Row],[remote_casualty]]</f>
        <v>12</v>
      </c>
      <c r="AG74">
        <f>event_tree[[#This Row],[fire_frequency]]*event_tree[[#This Row],[probability_of_scenario]]</f>
        <v>2.7145754999999998E-7</v>
      </c>
      <c r="AH74">
        <f>event_tree[[#This Row],[total_casualty]]*event_tree[[#This Row],[fire_probability]]</f>
        <v>3.2574905999999995E-6</v>
      </c>
    </row>
    <row r="75" spans="1:34" x14ac:dyDescent="0.25">
      <c r="A75">
        <v>74</v>
      </c>
      <c r="B75" t="str" cm="1">
        <f t="array" ref="B7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5" t="str" cm="1">
        <f t="array" ref="C7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5" t="str" cm="1">
        <f t="array" ref="D7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75" t="str" cm="1">
        <f t="array" ref="E75">INDEX(sprinkler[sprinkler],
  1+MOD(QUOTIENT(ROW()-ROW($B$2),
     ROWS(manual_suppression[manual_suppression])*
     ROWS(door_open[door_open])*
     ROWS(smoke_seal[smoke_seal])
  ),
  ROWS(sprinkler[sprinkler]))
)</f>
        <v>Fail</v>
      </c>
      <c r="F75" t="str" cm="1">
        <f t="array" ref="F75">INDEX(manual_suppression[manual_suppression],
  1+MOD(QUOTIENT(ROW()-ROW($B$2),
     ROWS(door_open[door_open])*
     ROWS(smoke_seal[smoke_seal])
  ),
  ROWS(manual_suppression[manual_suppression]))
)</f>
        <v>Fail</v>
      </c>
      <c r="G75" t="str" cm="1">
        <f t="array" ref="G75">INDEX(door_open[door_open],
  1+MOD(QUOTIENT(ROW()-ROW($B$2),
     ROWS(smoke_seal[smoke_seal])
  ),
  ROWS(door_open[door_open]))
)</f>
        <v>Open</v>
      </c>
      <c r="H75" t="str" cm="1">
        <f t="array" ref="H75">INDEX(smoke_seal[smoke_seal],
  1+MOD(ROW()-ROW($B$2), ROWS(smoke_seal[smoke_seal]))
)</f>
        <v>Success</v>
      </c>
      <c r="I75" t="str">
        <f>IF(event_tree[[#This Row],[door_open]]="Open","Open",IF(event_tree[[#This Row],[smoke_seal]]="Success","Close","Part"))</f>
        <v>Open</v>
      </c>
      <c r="J75">
        <f>IF(B75="apartment",Inputs!$I$7,Inputs!$I$6)</f>
        <v>7.7999999999999996E-3</v>
      </c>
      <c r="K75">
        <f>PRODUCT(
  INDEX(fire_location[Probability],MATCH($B75,fire_location[fire_location],0)),
  INDEX(smoke_detection_apt[Probability],MATCH($C75,smoke_detection_apt[smoke_detection_apt],0)),
  INDEX(smoke_detection_corridor[Probability],MATCH($D75,smoke_detection_corridor[smoke_detection_corridor],0)),
  INDEX(sprinkler[Probability],MATCH($E75,sprinkler[sprinkler],0)),
  INDEX(manual_suppression[Probability],MATCH($F75,manual_suppression[manual_suppression],0)),
  INDEX(door_open[Probability],MATCH($G75,door_open[door_open],0)),
  INDEX(smoke_seal[Probability],MATCH($H75,smoke_seal[smoke_seal],0))
)</f>
        <v>6.4632749999999999E-5</v>
      </c>
      <c r="L7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A</v>
      </c>
      <c r="M75" t="str">
        <f>event_tree[[#This Row],[ASET_scenario]]&amp;Inputs!$F$8</f>
        <v>A6</v>
      </c>
      <c r="N75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75">
        <f>IF(OR(event_tree[[#This Row],[sprinkler]]="Extinguish",event_tree[[#This Row],[manual_suppression]]="Suppress"),"extinguish",_xlfn.XLOOKUP(event_tree[[#This Row],[ASET_helper1]],ASET_data[ASET_helper1],ASET_data[cor_ASET]))</f>
        <v>92</v>
      </c>
      <c r="P75" t="str">
        <f>event_tree[[#This Row],[fire_location]]&amp;Inputs!$F$8</f>
        <v>Apartment6</v>
      </c>
      <c r="Q7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75">
        <f>IF(event_tree[[#This Row],[fire_location]]="Apartment",Inputs!$F$11,Inputs!$F$12)</f>
        <v>60</v>
      </c>
      <c r="S75">
        <f>10+Inputs!$F$8</f>
        <v>16</v>
      </c>
      <c r="T7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75">
        <f>IF(event_tree[[#This Row],[fire_location]]="Apartment",Inputs!$F$12,Inputs!$F$11)</f>
        <v>600</v>
      </c>
      <c r="V75">
        <f>10+Inputs!$F$8</f>
        <v>16</v>
      </c>
      <c r="W75">
        <f>30</f>
        <v>30</v>
      </c>
      <c r="X75">
        <f>IF(event_tree[[#This Row],[ASET_scenario]]="X","extinguish",
   event_tree[[#This Row],[SOU_tdet]] + event_tree[[#This Row],[SOU_tpre]] + event_tree[[#This Row],[tnot]])</f>
        <v>990</v>
      </c>
      <c r="Y75">
        <f>IF(event_tree[[#This Row],[ASET_scenario]]="X","extinguish",
   event_tree[[#This Row],[SOU_inside_RSET]] + event_tree[[#This Row],[SOU_ttrav]])</f>
        <v>1006</v>
      </c>
      <c r="Z75">
        <f>IF(event_tree[[#This Row],[ASET_scenario]]="X","extinguish",
   event_tree[[#This Row],[remote_tdet]] + event_tree[[#This Row],[remote_tpre]] + event_tree[[#This Row],[remote_ttrav]] + event_tree[[#This Row],[tnot]])</f>
        <v>1546</v>
      </c>
      <c r="AA75">
        <f>IF(event_tree[[#This Row],[ASET_scenario]]="X","extinguish", event_tree[[#This Row],[apt_ASET]]/event_tree[[#This Row],[SOU_inside_RSET]])</f>
        <v>6.363636363636363E-2</v>
      </c>
      <c r="AB75">
        <f>IF(event_tree[[#This Row],[ASET_scenario]]="X","extinguish",event_tree[[#This Row],[cor_ASET]]/event_tree[[#This Row],[SOU_outside_RSET]])</f>
        <v>9.1451292246520877E-2</v>
      </c>
      <c r="AC75">
        <f>IF(event_tree[[#This Row],[ASET_scenario]]="X","extinguish",event_tree[[#This Row],[cor_ASET]]/event_tree[[#This Row],[remote_RSET]])</f>
        <v>5.9508408796895215E-2</v>
      </c>
      <c r="AD75">
        <f>IF(OR(event_tree[[#This Row],[SOU_inside_ratio]]&lt;1,event_tree[[#This Row],[SOU_outside_ratio]]&lt;1),2)</f>
        <v>2</v>
      </c>
      <c r="AE75">
        <f>IF(event_tree[[#This Row],[remote_ratio]]&lt;1,2*(Inputs!$F$5-1))</f>
        <v>10</v>
      </c>
      <c r="AF75">
        <f>event_tree[[#This Row],[SOU_casualty]]+event_tree[[#This Row],[remote_casualty]]</f>
        <v>12</v>
      </c>
      <c r="AG75">
        <f>event_tree[[#This Row],[fire_frequency]]*event_tree[[#This Row],[probability_of_scenario]]</f>
        <v>5.0413544999999992E-7</v>
      </c>
      <c r="AH75">
        <f>event_tree[[#This Row],[total_casualty]]*event_tree[[#This Row],[fire_probability]]</f>
        <v>6.0496253999999986E-6</v>
      </c>
    </row>
    <row r="76" spans="1:34" x14ac:dyDescent="0.25">
      <c r="A76">
        <v>75</v>
      </c>
      <c r="B76" t="str" cm="1">
        <f t="array" ref="B7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6" t="str" cm="1">
        <f t="array" ref="C7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6" t="str" cm="1">
        <f t="array" ref="D7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76" t="str" cm="1">
        <f t="array" ref="E76">INDEX(sprinkler[sprinkler],
  1+MOD(QUOTIENT(ROW()-ROW($B$2),
     ROWS(manual_suppression[manual_suppression])*
     ROWS(door_open[door_open])*
     ROWS(smoke_seal[smoke_seal])
  ),
  ROWS(sprinkler[sprinkler]))
)</f>
        <v>Fail</v>
      </c>
      <c r="F76" t="str" cm="1">
        <f t="array" ref="F76">INDEX(manual_suppression[manual_suppression],
  1+MOD(QUOTIENT(ROW()-ROW($B$2),
     ROWS(door_open[door_open])*
     ROWS(smoke_seal[smoke_seal])
  ),
  ROWS(manual_suppression[manual_suppression]))
)</f>
        <v>Fail</v>
      </c>
      <c r="G76" t="str" cm="1">
        <f t="array" ref="G76">INDEX(door_open[door_open],
  1+MOD(QUOTIENT(ROW()-ROW($B$2),
     ROWS(smoke_seal[smoke_seal])
  ),
  ROWS(door_open[door_open]))
)</f>
        <v>Closed</v>
      </c>
      <c r="H76" t="str" cm="1">
        <f t="array" ref="H76">INDEX(smoke_seal[smoke_seal],
  1+MOD(ROW()-ROW($B$2), ROWS(smoke_seal[smoke_seal]))
)</f>
        <v>Fail</v>
      </c>
      <c r="I76" t="str">
        <f>IF(event_tree[[#This Row],[door_open]]="Open","Open",IF(event_tree[[#This Row],[smoke_seal]]="Success","Close","Part"))</f>
        <v>Part</v>
      </c>
      <c r="J76">
        <f>IF(B76="apartment",Inputs!$I$7,Inputs!$I$6)</f>
        <v>7.7999999999999996E-3</v>
      </c>
      <c r="K76">
        <f>PRODUCT(
  INDEX(fire_location[Probability],MATCH($B76,fire_location[fire_location],0)),
  INDEX(smoke_detection_apt[Probability],MATCH($C76,smoke_detection_apt[smoke_detection_apt],0)),
  INDEX(smoke_detection_corridor[Probability],MATCH($D76,smoke_detection_corridor[smoke_detection_corridor],0)),
  INDEX(sprinkler[Probability],MATCH($E76,sprinkler[sprinkler],0)),
  INDEX(manual_suppression[Probability],MATCH($F76,manual_suppression[manual_suppression],0)),
  INDEX(door_open[Probability],MATCH($G76,door_open[door_open],0)),
  INDEX(smoke_seal[Probability],MATCH($H76,smoke_seal[smoke_seal],0))
)</f>
        <v>8.1205249999999996E-5</v>
      </c>
      <c r="L7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C</v>
      </c>
      <c r="M76" t="str">
        <f>event_tree[[#This Row],[ASET_scenario]]&amp;Inputs!$F$8</f>
        <v>C6</v>
      </c>
      <c r="N76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76">
        <f>IF(OR(event_tree[[#This Row],[sprinkler]]="Extinguish",event_tree[[#This Row],[manual_suppression]]="Suppress"),"extinguish",_xlfn.XLOOKUP(event_tree[[#This Row],[ASET_helper1]],ASET_data[ASET_helper1],ASET_data[cor_ASET]))</f>
        <v>125</v>
      </c>
      <c r="P76" t="str">
        <f>event_tree[[#This Row],[fire_location]]&amp;Inputs!$F$8</f>
        <v>Apartment6</v>
      </c>
      <c r="Q7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76">
        <f>IF(event_tree[[#This Row],[fire_location]]="Apartment",Inputs!$F$11,Inputs!$F$12)</f>
        <v>60</v>
      </c>
      <c r="S76">
        <f>10+Inputs!$F$8</f>
        <v>16</v>
      </c>
      <c r="T7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76">
        <f>IF(event_tree[[#This Row],[fire_location]]="Apartment",Inputs!$F$12,Inputs!$F$11)</f>
        <v>600</v>
      </c>
      <c r="V76">
        <f>10+Inputs!$F$8</f>
        <v>16</v>
      </c>
      <c r="W76">
        <f>30</f>
        <v>30</v>
      </c>
      <c r="X76">
        <f>IF(event_tree[[#This Row],[ASET_scenario]]="X","extinguish",
   event_tree[[#This Row],[SOU_tdet]] + event_tree[[#This Row],[SOU_tpre]] + event_tree[[#This Row],[tnot]])</f>
        <v>990</v>
      </c>
      <c r="Y76">
        <f>IF(event_tree[[#This Row],[ASET_scenario]]="X","extinguish",
   event_tree[[#This Row],[SOU_inside_RSET]] + event_tree[[#This Row],[SOU_ttrav]])</f>
        <v>1006</v>
      </c>
      <c r="Z76">
        <f>IF(event_tree[[#This Row],[ASET_scenario]]="X","extinguish",
   event_tree[[#This Row],[remote_tdet]] + event_tree[[#This Row],[remote_tpre]] + event_tree[[#This Row],[remote_ttrav]] + event_tree[[#This Row],[tnot]])</f>
        <v>1546</v>
      </c>
      <c r="AA76">
        <f>IF(event_tree[[#This Row],[ASET_scenario]]="X","extinguish", event_tree[[#This Row],[apt_ASET]]/event_tree[[#This Row],[SOU_inside_RSET]])</f>
        <v>6.363636363636363E-2</v>
      </c>
      <c r="AB76">
        <f>IF(event_tree[[#This Row],[ASET_scenario]]="X","extinguish",event_tree[[#This Row],[cor_ASET]]/event_tree[[#This Row],[SOU_outside_RSET]])</f>
        <v>0.1242544731610338</v>
      </c>
      <c r="AC76">
        <f>IF(event_tree[[#This Row],[ASET_scenario]]="X","extinguish",event_tree[[#This Row],[cor_ASET]]/event_tree[[#This Row],[remote_RSET]])</f>
        <v>8.0853816300129361E-2</v>
      </c>
      <c r="AD76">
        <f>IF(OR(event_tree[[#This Row],[SOU_inside_ratio]]&lt;1,event_tree[[#This Row],[SOU_outside_ratio]]&lt;1),2)</f>
        <v>2</v>
      </c>
      <c r="AE76">
        <f>IF(event_tree[[#This Row],[remote_ratio]]&lt;1,2*(Inputs!$F$5-1))</f>
        <v>10</v>
      </c>
      <c r="AF76">
        <f>event_tree[[#This Row],[SOU_casualty]]+event_tree[[#This Row],[remote_casualty]]</f>
        <v>12</v>
      </c>
      <c r="AG76">
        <f>event_tree[[#This Row],[fire_frequency]]*event_tree[[#This Row],[probability_of_scenario]]</f>
        <v>6.3340094999999989E-7</v>
      </c>
      <c r="AH76">
        <f>event_tree[[#This Row],[total_casualty]]*event_tree[[#This Row],[fire_probability]]</f>
        <v>7.6008113999999983E-6</v>
      </c>
    </row>
    <row r="77" spans="1:34" x14ac:dyDescent="0.25">
      <c r="A77">
        <v>76</v>
      </c>
      <c r="B77" t="str" cm="1">
        <f t="array" ref="B7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7" t="str" cm="1">
        <f t="array" ref="C7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7" t="str" cm="1">
        <f t="array" ref="D7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77" t="str" cm="1">
        <f t="array" ref="E77">INDEX(sprinkler[sprinkler],
  1+MOD(QUOTIENT(ROW()-ROW($B$2),
     ROWS(manual_suppression[manual_suppression])*
     ROWS(door_open[door_open])*
     ROWS(smoke_seal[smoke_seal])
  ),
  ROWS(sprinkler[sprinkler]))
)</f>
        <v>Fail</v>
      </c>
      <c r="F77" t="str" cm="1">
        <f t="array" ref="F77">INDEX(manual_suppression[manual_suppression],
  1+MOD(QUOTIENT(ROW()-ROW($B$2),
     ROWS(door_open[door_open])*
     ROWS(smoke_seal[smoke_seal])
  ),
  ROWS(manual_suppression[manual_suppression]))
)</f>
        <v>Fail</v>
      </c>
      <c r="G77" t="str" cm="1">
        <f t="array" ref="G77">INDEX(door_open[door_open],
  1+MOD(QUOTIENT(ROW()-ROW($B$2),
     ROWS(smoke_seal[smoke_seal])
  ),
  ROWS(door_open[door_open]))
)</f>
        <v>Closed</v>
      </c>
      <c r="H77" t="str" cm="1">
        <f t="array" ref="H77">INDEX(smoke_seal[smoke_seal],
  1+MOD(ROW()-ROW($B$2), ROWS(smoke_seal[smoke_seal]))
)</f>
        <v>Success</v>
      </c>
      <c r="I77" t="str">
        <f>IF(event_tree[[#This Row],[door_open]]="Open","Open",IF(event_tree[[#This Row],[smoke_seal]]="Success","Close","Part"))</f>
        <v>Close</v>
      </c>
      <c r="J77">
        <f>IF(B77="apartment",Inputs!$I$7,Inputs!$I$6)</f>
        <v>7.7999999999999996E-3</v>
      </c>
      <c r="K77">
        <f>PRODUCT(
  INDEX(fire_location[Probability],MATCH($B77,fire_location[fire_location],0)),
  INDEX(smoke_detection_apt[Probability],MATCH($C77,smoke_detection_apt[smoke_detection_apt],0)),
  INDEX(smoke_detection_corridor[Probability],MATCH($D77,smoke_detection_corridor[smoke_detection_corridor],0)),
  INDEX(sprinkler[Probability],MATCH($E77,sprinkler[sprinkler],0)),
  INDEX(manual_suppression[Probability],MATCH($F77,manual_suppression[manual_suppression],0)),
  INDEX(door_open[Probability],MATCH($G77,door_open[door_open],0)),
  INDEX(smoke_seal[Probability],MATCH($H77,smoke_seal[smoke_seal],0))
)</f>
        <v>1.5080975E-4</v>
      </c>
      <c r="L7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B</v>
      </c>
      <c r="M77" t="str">
        <f>event_tree[[#This Row],[ASET_scenario]]&amp;Inputs!$F$8</f>
        <v>B6</v>
      </c>
      <c r="N77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77">
        <f>IF(OR(event_tree[[#This Row],[sprinkler]]="Extinguish",event_tree[[#This Row],[manual_suppression]]="Suppress"),"extinguish",_xlfn.XLOOKUP(event_tree[[#This Row],[ASET_helper1]],ASET_data[ASET_helper1],ASET_data[cor_ASET]))</f>
        <v>3600</v>
      </c>
      <c r="P77" t="str">
        <f>event_tree[[#This Row],[fire_location]]&amp;Inputs!$F$8</f>
        <v>Apartment6</v>
      </c>
      <c r="Q7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77">
        <f>IF(event_tree[[#This Row],[fire_location]]="Apartment",Inputs!$F$11,Inputs!$F$12)</f>
        <v>60</v>
      </c>
      <c r="S77">
        <f>10+Inputs!$F$8</f>
        <v>16</v>
      </c>
      <c r="T7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77">
        <f>IF(event_tree[[#This Row],[fire_location]]="Apartment",Inputs!$F$12,Inputs!$F$11)</f>
        <v>600</v>
      </c>
      <c r="V77">
        <f>10+Inputs!$F$8</f>
        <v>16</v>
      </c>
      <c r="W77">
        <f>30</f>
        <v>30</v>
      </c>
      <c r="X77">
        <f>IF(event_tree[[#This Row],[ASET_scenario]]="X","extinguish",
   event_tree[[#This Row],[SOU_tdet]] + event_tree[[#This Row],[SOU_tpre]] + event_tree[[#This Row],[tnot]])</f>
        <v>990</v>
      </c>
      <c r="Y77">
        <f>IF(event_tree[[#This Row],[ASET_scenario]]="X","extinguish",
   event_tree[[#This Row],[SOU_inside_RSET]] + event_tree[[#This Row],[SOU_ttrav]])</f>
        <v>1006</v>
      </c>
      <c r="Z77">
        <f>IF(event_tree[[#This Row],[ASET_scenario]]="X","extinguish",
   event_tree[[#This Row],[remote_tdet]] + event_tree[[#This Row],[remote_tpre]] + event_tree[[#This Row],[remote_ttrav]] + event_tree[[#This Row],[tnot]])</f>
        <v>1546</v>
      </c>
      <c r="AA77">
        <f>IF(event_tree[[#This Row],[ASET_scenario]]="X","extinguish", event_tree[[#This Row],[apt_ASET]]/event_tree[[#This Row],[SOU_inside_RSET]])</f>
        <v>6.363636363636363E-2</v>
      </c>
      <c r="AB77">
        <f>IF(event_tree[[#This Row],[ASET_scenario]]="X","extinguish",event_tree[[#This Row],[cor_ASET]]/event_tree[[#This Row],[SOU_outside_RSET]])</f>
        <v>3.5785288270377733</v>
      </c>
      <c r="AC77">
        <f>IF(event_tree[[#This Row],[ASET_scenario]]="X","extinguish",event_tree[[#This Row],[cor_ASET]]/event_tree[[#This Row],[remote_RSET]])</f>
        <v>2.3285899094437257</v>
      </c>
      <c r="AD77">
        <f>IF(OR(event_tree[[#This Row],[SOU_inside_ratio]]&lt;1,event_tree[[#This Row],[SOU_outside_ratio]]&lt;1),2)</f>
        <v>2</v>
      </c>
      <c r="AE77" t="b">
        <f>IF(event_tree[[#This Row],[remote_ratio]]&lt;1,2*(Inputs!$F$5-1))</f>
        <v>0</v>
      </c>
      <c r="AF77">
        <f>event_tree[[#This Row],[SOU_casualty]]+event_tree[[#This Row],[remote_casualty]]</f>
        <v>2</v>
      </c>
      <c r="AG77">
        <f>event_tree[[#This Row],[fire_frequency]]*event_tree[[#This Row],[probability_of_scenario]]</f>
        <v>1.1763160499999998E-6</v>
      </c>
      <c r="AH77">
        <f>event_tree[[#This Row],[total_casualty]]*event_tree[[#This Row],[fire_probability]]</f>
        <v>2.3526320999999997E-6</v>
      </c>
    </row>
    <row r="78" spans="1:34" x14ac:dyDescent="0.25">
      <c r="A78">
        <v>77</v>
      </c>
      <c r="B78" t="str" cm="1">
        <f t="array" ref="B7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8" t="str" cm="1">
        <f t="array" ref="C7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8" t="str" cm="1">
        <f t="array" ref="D7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78" t="str" cm="1">
        <f t="array" ref="E78">INDEX(sprinkler[sprinkler],
  1+MOD(QUOTIENT(ROW()-ROW($B$2),
     ROWS(manual_suppression[manual_suppression])*
     ROWS(door_open[door_open])*
     ROWS(smoke_seal[smoke_seal])
  ),
  ROWS(sprinkler[sprinkler]))
)</f>
        <v>Fail</v>
      </c>
      <c r="F78" t="str" cm="1">
        <f t="array" ref="F78">INDEX(manual_suppression[manual_suppression],
  1+MOD(QUOTIENT(ROW()-ROW($B$2),
     ROWS(door_open[door_open])*
     ROWS(smoke_seal[smoke_seal])
  ),
  ROWS(manual_suppression[manual_suppression]))
)</f>
        <v>Suppress</v>
      </c>
      <c r="G78" t="str" cm="1">
        <f t="array" ref="G78">INDEX(door_open[door_open],
  1+MOD(QUOTIENT(ROW()-ROW($B$2),
     ROWS(smoke_seal[smoke_seal])
  ),
  ROWS(door_open[door_open]))
)</f>
        <v>Open</v>
      </c>
      <c r="H78" t="str" cm="1">
        <f t="array" ref="H78">INDEX(smoke_seal[smoke_seal],
  1+MOD(ROW()-ROW($B$2), ROWS(smoke_seal[smoke_seal]))
)</f>
        <v>Fail</v>
      </c>
      <c r="I78" t="str">
        <f>IF(event_tree[[#This Row],[door_open]]="Open","Open",IF(event_tree[[#This Row],[smoke_seal]]="Success","Close","Part"))</f>
        <v>Open</v>
      </c>
      <c r="J78">
        <f>IF(B78="apartment",Inputs!$I$7,Inputs!$I$6)</f>
        <v>7.7999999999999996E-3</v>
      </c>
      <c r="K78">
        <f>PRODUCT(
  INDEX(fire_location[Probability],MATCH($B78,fire_location[fire_location],0)),
  INDEX(smoke_detection_apt[Probability],MATCH($C78,smoke_detection_apt[smoke_detection_apt],0)),
  INDEX(smoke_detection_corridor[Probability],MATCH($D78,smoke_detection_corridor[smoke_detection_corridor],0)),
  INDEX(sprinkler[Probability],MATCH($E78,sprinkler[sprinkler],0)),
  INDEX(manual_suppression[Probability],MATCH($F78,manual_suppression[manual_suppression],0)),
  INDEX(door_open[Probability],MATCH($G78,door_open[door_open],0)),
  INDEX(smoke_seal[Probability],MATCH($H78,smoke_seal[smoke_seal],0))
)</f>
        <v>6.4632749999999999E-5</v>
      </c>
      <c r="L7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78" t="str">
        <f>event_tree[[#This Row],[ASET_scenario]]&amp;Inputs!$F$8</f>
        <v>X6</v>
      </c>
      <c r="N7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7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78" t="str">
        <f>event_tree[[#This Row],[fire_location]]&amp;Inputs!$F$8</f>
        <v>Apartment6</v>
      </c>
      <c r="Q7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78">
        <f>IF(event_tree[[#This Row],[fire_location]]="Apartment",Inputs!$F$11,Inputs!$F$12)</f>
        <v>60</v>
      </c>
      <c r="S78">
        <f>10+Inputs!$F$8</f>
        <v>16</v>
      </c>
      <c r="T7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78">
        <f>IF(event_tree[[#This Row],[fire_location]]="Apartment",Inputs!$F$12,Inputs!$F$11)</f>
        <v>600</v>
      </c>
      <c r="V78">
        <f>10+Inputs!$F$8</f>
        <v>16</v>
      </c>
      <c r="W78">
        <f>30</f>
        <v>30</v>
      </c>
      <c r="X78" t="str">
        <f>IF(event_tree[[#This Row],[ASET_scenario]]="X","extinguish",
   event_tree[[#This Row],[SOU_tdet]] + event_tree[[#This Row],[SOU_tpre]] + event_tree[[#This Row],[tnot]])</f>
        <v>extinguish</v>
      </c>
      <c r="Y78" t="str">
        <f>IF(event_tree[[#This Row],[ASET_scenario]]="X","extinguish",
   event_tree[[#This Row],[SOU_inside_RSET]] + event_tree[[#This Row],[SOU_ttrav]])</f>
        <v>extinguish</v>
      </c>
      <c r="Z7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78" t="str">
        <f>IF(event_tree[[#This Row],[ASET_scenario]]="X","extinguish", event_tree[[#This Row],[apt_ASET]]/event_tree[[#This Row],[SOU_inside_RSET]])</f>
        <v>extinguish</v>
      </c>
      <c r="AB78" t="str">
        <f>IF(event_tree[[#This Row],[ASET_scenario]]="X","extinguish",event_tree[[#This Row],[cor_ASET]]/event_tree[[#This Row],[SOU_outside_RSET]])</f>
        <v>extinguish</v>
      </c>
      <c r="AC78" t="str">
        <f>IF(event_tree[[#This Row],[ASET_scenario]]="X","extinguish",event_tree[[#This Row],[cor_ASET]]/event_tree[[#This Row],[remote_RSET]])</f>
        <v>extinguish</v>
      </c>
      <c r="AD78" t="b">
        <f>IF(OR(event_tree[[#This Row],[SOU_inside_ratio]]&lt;1,event_tree[[#This Row],[SOU_outside_ratio]]&lt;1),2)</f>
        <v>0</v>
      </c>
      <c r="AE78" t="b">
        <f>IF(event_tree[[#This Row],[remote_ratio]]&lt;1,2*(Inputs!$F$5-1))</f>
        <v>0</v>
      </c>
      <c r="AF78">
        <f>event_tree[[#This Row],[SOU_casualty]]+event_tree[[#This Row],[remote_casualty]]</f>
        <v>0</v>
      </c>
      <c r="AG78">
        <f>event_tree[[#This Row],[fire_frequency]]*event_tree[[#This Row],[probability_of_scenario]]</f>
        <v>5.0413544999999992E-7</v>
      </c>
      <c r="AH78">
        <f>event_tree[[#This Row],[total_casualty]]*event_tree[[#This Row],[fire_probability]]</f>
        <v>0</v>
      </c>
    </row>
    <row r="79" spans="1:34" x14ac:dyDescent="0.25">
      <c r="A79">
        <v>78</v>
      </c>
      <c r="B79" t="str" cm="1">
        <f t="array" ref="B7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79" t="str" cm="1">
        <f t="array" ref="C7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79" t="str" cm="1">
        <f t="array" ref="D7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79" t="str" cm="1">
        <f t="array" ref="E79">INDEX(sprinkler[sprinkler],
  1+MOD(QUOTIENT(ROW()-ROW($B$2),
     ROWS(manual_suppression[manual_suppression])*
     ROWS(door_open[door_open])*
     ROWS(smoke_seal[smoke_seal])
  ),
  ROWS(sprinkler[sprinkler]))
)</f>
        <v>Fail</v>
      </c>
      <c r="F79" t="str" cm="1">
        <f t="array" ref="F79">INDEX(manual_suppression[manual_suppression],
  1+MOD(QUOTIENT(ROW()-ROW($B$2),
     ROWS(door_open[door_open])*
     ROWS(smoke_seal[smoke_seal])
  ),
  ROWS(manual_suppression[manual_suppression]))
)</f>
        <v>Suppress</v>
      </c>
      <c r="G79" t="str" cm="1">
        <f t="array" ref="G79">INDEX(door_open[door_open],
  1+MOD(QUOTIENT(ROW()-ROW($B$2),
     ROWS(smoke_seal[smoke_seal])
  ),
  ROWS(door_open[door_open]))
)</f>
        <v>Open</v>
      </c>
      <c r="H79" t="str" cm="1">
        <f t="array" ref="H79">INDEX(smoke_seal[smoke_seal],
  1+MOD(ROW()-ROW($B$2), ROWS(smoke_seal[smoke_seal]))
)</f>
        <v>Success</v>
      </c>
      <c r="I79" t="str">
        <f>IF(event_tree[[#This Row],[door_open]]="Open","Open",IF(event_tree[[#This Row],[smoke_seal]]="Success","Close","Part"))</f>
        <v>Open</v>
      </c>
      <c r="J79">
        <f>IF(B79="apartment",Inputs!$I$7,Inputs!$I$6)</f>
        <v>7.7999999999999996E-3</v>
      </c>
      <c r="K79">
        <f>PRODUCT(
  INDEX(fire_location[Probability],MATCH($B79,fire_location[fire_location],0)),
  INDEX(smoke_detection_apt[Probability],MATCH($C79,smoke_detection_apt[smoke_detection_apt],0)),
  INDEX(smoke_detection_corridor[Probability],MATCH($D79,smoke_detection_corridor[smoke_detection_corridor],0)),
  INDEX(sprinkler[Probability],MATCH($E79,sprinkler[sprinkler],0)),
  INDEX(manual_suppression[Probability],MATCH($F79,manual_suppression[manual_suppression],0)),
  INDEX(door_open[Probability],MATCH($G79,door_open[door_open],0)),
  INDEX(smoke_seal[Probability],MATCH($H79,smoke_seal[smoke_seal],0))
)</f>
        <v>1.2003225000000001E-4</v>
      </c>
      <c r="L7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79" t="str">
        <f>event_tree[[#This Row],[ASET_scenario]]&amp;Inputs!$F$8</f>
        <v>X6</v>
      </c>
      <c r="N7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7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79" t="str">
        <f>event_tree[[#This Row],[fire_location]]&amp;Inputs!$F$8</f>
        <v>Apartment6</v>
      </c>
      <c r="Q7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79">
        <f>IF(event_tree[[#This Row],[fire_location]]="Apartment",Inputs!$F$11,Inputs!$F$12)</f>
        <v>60</v>
      </c>
      <c r="S79">
        <f>10+Inputs!$F$8</f>
        <v>16</v>
      </c>
      <c r="T7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79">
        <f>IF(event_tree[[#This Row],[fire_location]]="Apartment",Inputs!$F$12,Inputs!$F$11)</f>
        <v>600</v>
      </c>
      <c r="V79">
        <f>10+Inputs!$F$8</f>
        <v>16</v>
      </c>
      <c r="W79">
        <f>30</f>
        <v>30</v>
      </c>
      <c r="X79" t="str">
        <f>IF(event_tree[[#This Row],[ASET_scenario]]="X","extinguish",
   event_tree[[#This Row],[SOU_tdet]] + event_tree[[#This Row],[SOU_tpre]] + event_tree[[#This Row],[tnot]])</f>
        <v>extinguish</v>
      </c>
      <c r="Y79" t="str">
        <f>IF(event_tree[[#This Row],[ASET_scenario]]="X","extinguish",
   event_tree[[#This Row],[SOU_inside_RSET]] + event_tree[[#This Row],[SOU_ttrav]])</f>
        <v>extinguish</v>
      </c>
      <c r="Z7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79" t="str">
        <f>IF(event_tree[[#This Row],[ASET_scenario]]="X","extinguish", event_tree[[#This Row],[apt_ASET]]/event_tree[[#This Row],[SOU_inside_RSET]])</f>
        <v>extinguish</v>
      </c>
      <c r="AB79" t="str">
        <f>IF(event_tree[[#This Row],[ASET_scenario]]="X","extinguish",event_tree[[#This Row],[cor_ASET]]/event_tree[[#This Row],[SOU_outside_RSET]])</f>
        <v>extinguish</v>
      </c>
      <c r="AC79" t="str">
        <f>IF(event_tree[[#This Row],[ASET_scenario]]="X","extinguish",event_tree[[#This Row],[cor_ASET]]/event_tree[[#This Row],[remote_RSET]])</f>
        <v>extinguish</v>
      </c>
      <c r="AD79" t="b">
        <f>IF(OR(event_tree[[#This Row],[SOU_inside_ratio]]&lt;1,event_tree[[#This Row],[SOU_outside_ratio]]&lt;1),2)</f>
        <v>0</v>
      </c>
      <c r="AE79" t="b">
        <f>IF(event_tree[[#This Row],[remote_ratio]]&lt;1,2*(Inputs!$F$5-1))</f>
        <v>0</v>
      </c>
      <c r="AF79">
        <f>event_tree[[#This Row],[SOU_casualty]]+event_tree[[#This Row],[remote_casualty]]</f>
        <v>0</v>
      </c>
      <c r="AG79">
        <f>event_tree[[#This Row],[fire_frequency]]*event_tree[[#This Row],[probability_of_scenario]]</f>
        <v>9.3625155000000005E-7</v>
      </c>
      <c r="AH79">
        <f>event_tree[[#This Row],[total_casualty]]*event_tree[[#This Row],[fire_probability]]</f>
        <v>0</v>
      </c>
    </row>
    <row r="80" spans="1:34" x14ac:dyDescent="0.25">
      <c r="A80">
        <v>79</v>
      </c>
      <c r="B80" t="str" cm="1">
        <f t="array" ref="B8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0" t="str" cm="1">
        <f t="array" ref="C8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0" t="str" cm="1">
        <f t="array" ref="D8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0" t="str" cm="1">
        <f t="array" ref="E80">INDEX(sprinkler[sprinkler],
  1+MOD(QUOTIENT(ROW()-ROW($B$2),
     ROWS(manual_suppression[manual_suppression])*
     ROWS(door_open[door_open])*
     ROWS(smoke_seal[smoke_seal])
  ),
  ROWS(sprinkler[sprinkler]))
)</f>
        <v>Fail</v>
      </c>
      <c r="F80" t="str" cm="1">
        <f t="array" ref="F80">INDEX(manual_suppression[manual_suppression],
  1+MOD(QUOTIENT(ROW()-ROW($B$2),
     ROWS(door_open[door_open])*
     ROWS(smoke_seal[smoke_seal])
  ),
  ROWS(manual_suppression[manual_suppression]))
)</f>
        <v>Suppress</v>
      </c>
      <c r="G80" t="str" cm="1">
        <f t="array" ref="G80">INDEX(door_open[door_open],
  1+MOD(QUOTIENT(ROW()-ROW($B$2),
     ROWS(smoke_seal[smoke_seal])
  ),
  ROWS(door_open[door_open]))
)</f>
        <v>Closed</v>
      </c>
      <c r="H80" t="str" cm="1">
        <f t="array" ref="H80">INDEX(smoke_seal[smoke_seal],
  1+MOD(ROW()-ROW($B$2), ROWS(smoke_seal[smoke_seal]))
)</f>
        <v>Fail</v>
      </c>
      <c r="I80" t="str">
        <f>IF(event_tree[[#This Row],[door_open]]="Open","Open",IF(event_tree[[#This Row],[smoke_seal]]="Success","Close","Part"))</f>
        <v>Part</v>
      </c>
      <c r="J80">
        <f>IF(B80="apartment",Inputs!$I$7,Inputs!$I$6)</f>
        <v>7.7999999999999996E-3</v>
      </c>
      <c r="K80">
        <f>PRODUCT(
  INDEX(fire_location[Probability],MATCH($B80,fire_location[fire_location],0)),
  INDEX(smoke_detection_apt[Probability],MATCH($C80,smoke_detection_apt[smoke_detection_apt],0)),
  INDEX(smoke_detection_corridor[Probability],MATCH($D80,smoke_detection_corridor[smoke_detection_corridor],0)),
  INDEX(sprinkler[Probability],MATCH($E80,sprinkler[sprinkler],0)),
  INDEX(manual_suppression[Probability],MATCH($F80,manual_suppression[manual_suppression],0)),
  INDEX(door_open[Probability],MATCH($G80,door_open[door_open],0)),
  INDEX(smoke_seal[Probability],MATCH($H80,smoke_seal[smoke_seal],0))
)</f>
        <v>1.5080975E-4</v>
      </c>
      <c r="L8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80" t="str">
        <f>event_tree[[#This Row],[ASET_scenario]]&amp;Inputs!$F$8</f>
        <v>X6</v>
      </c>
      <c r="N8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8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80" t="str">
        <f>event_tree[[#This Row],[fire_location]]&amp;Inputs!$F$8</f>
        <v>Apartment6</v>
      </c>
      <c r="Q8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80">
        <f>IF(event_tree[[#This Row],[fire_location]]="Apartment",Inputs!$F$11,Inputs!$F$12)</f>
        <v>60</v>
      </c>
      <c r="S80">
        <f>10+Inputs!$F$8</f>
        <v>16</v>
      </c>
      <c r="T8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80">
        <f>IF(event_tree[[#This Row],[fire_location]]="Apartment",Inputs!$F$12,Inputs!$F$11)</f>
        <v>600</v>
      </c>
      <c r="V80">
        <f>10+Inputs!$F$8</f>
        <v>16</v>
      </c>
      <c r="W80">
        <f>30</f>
        <v>30</v>
      </c>
      <c r="X80" t="str">
        <f>IF(event_tree[[#This Row],[ASET_scenario]]="X","extinguish",
   event_tree[[#This Row],[SOU_tdet]] + event_tree[[#This Row],[SOU_tpre]] + event_tree[[#This Row],[tnot]])</f>
        <v>extinguish</v>
      </c>
      <c r="Y80" t="str">
        <f>IF(event_tree[[#This Row],[ASET_scenario]]="X","extinguish",
   event_tree[[#This Row],[SOU_inside_RSET]] + event_tree[[#This Row],[SOU_ttrav]])</f>
        <v>extinguish</v>
      </c>
      <c r="Z8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80" t="str">
        <f>IF(event_tree[[#This Row],[ASET_scenario]]="X","extinguish", event_tree[[#This Row],[apt_ASET]]/event_tree[[#This Row],[SOU_inside_RSET]])</f>
        <v>extinguish</v>
      </c>
      <c r="AB80" t="str">
        <f>IF(event_tree[[#This Row],[ASET_scenario]]="X","extinguish",event_tree[[#This Row],[cor_ASET]]/event_tree[[#This Row],[SOU_outside_RSET]])</f>
        <v>extinguish</v>
      </c>
      <c r="AC80" t="str">
        <f>IF(event_tree[[#This Row],[ASET_scenario]]="X","extinguish",event_tree[[#This Row],[cor_ASET]]/event_tree[[#This Row],[remote_RSET]])</f>
        <v>extinguish</v>
      </c>
      <c r="AD80" t="b">
        <f>IF(OR(event_tree[[#This Row],[SOU_inside_ratio]]&lt;1,event_tree[[#This Row],[SOU_outside_ratio]]&lt;1),2)</f>
        <v>0</v>
      </c>
      <c r="AE80" t="b">
        <f>IF(event_tree[[#This Row],[remote_ratio]]&lt;1,2*(Inputs!$F$5-1))</f>
        <v>0</v>
      </c>
      <c r="AF80">
        <f>event_tree[[#This Row],[SOU_casualty]]+event_tree[[#This Row],[remote_casualty]]</f>
        <v>0</v>
      </c>
      <c r="AG80">
        <f>event_tree[[#This Row],[fire_frequency]]*event_tree[[#This Row],[probability_of_scenario]]</f>
        <v>1.1763160499999998E-6</v>
      </c>
      <c r="AH80">
        <f>event_tree[[#This Row],[total_casualty]]*event_tree[[#This Row],[fire_probability]]</f>
        <v>0</v>
      </c>
    </row>
    <row r="81" spans="1:34" x14ac:dyDescent="0.25">
      <c r="A81">
        <v>80</v>
      </c>
      <c r="B81" t="str" cm="1">
        <f t="array" ref="B8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1" t="str" cm="1">
        <f t="array" ref="C8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1" t="str" cm="1">
        <f t="array" ref="D8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1" t="str" cm="1">
        <f t="array" ref="E81">INDEX(sprinkler[sprinkler],
  1+MOD(QUOTIENT(ROW()-ROW($B$2),
     ROWS(manual_suppression[manual_suppression])*
     ROWS(door_open[door_open])*
     ROWS(smoke_seal[smoke_seal])
  ),
  ROWS(sprinkler[sprinkler]))
)</f>
        <v>Fail</v>
      </c>
      <c r="F81" t="str" cm="1">
        <f t="array" ref="F81">INDEX(manual_suppression[manual_suppression],
  1+MOD(QUOTIENT(ROW()-ROW($B$2),
     ROWS(door_open[door_open])*
     ROWS(smoke_seal[smoke_seal])
  ),
  ROWS(manual_suppression[manual_suppression]))
)</f>
        <v>Suppress</v>
      </c>
      <c r="G81" t="str" cm="1">
        <f t="array" ref="G81">INDEX(door_open[door_open],
  1+MOD(QUOTIENT(ROW()-ROW($B$2),
     ROWS(smoke_seal[smoke_seal])
  ),
  ROWS(door_open[door_open]))
)</f>
        <v>Closed</v>
      </c>
      <c r="H81" t="str" cm="1">
        <f t="array" ref="H81">INDEX(smoke_seal[smoke_seal],
  1+MOD(ROW()-ROW($B$2), ROWS(smoke_seal[smoke_seal]))
)</f>
        <v>Success</v>
      </c>
      <c r="I81" t="str">
        <f>IF(event_tree[[#This Row],[door_open]]="Open","Open",IF(event_tree[[#This Row],[smoke_seal]]="Success","Close","Part"))</f>
        <v>Close</v>
      </c>
      <c r="J81">
        <f>IF(B81="apartment",Inputs!$I$7,Inputs!$I$6)</f>
        <v>7.7999999999999996E-3</v>
      </c>
      <c r="K81">
        <f>PRODUCT(
  INDEX(fire_location[Probability],MATCH($B81,fire_location[fire_location],0)),
  INDEX(smoke_detection_apt[Probability],MATCH($C81,smoke_detection_apt[smoke_detection_apt],0)),
  INDEX(smoke_detection_corridor[Probability],MATCH($D81,smoke_detection_corridor[smoke_detection_corridor],0)),
  INDEX(sprinkler[Probability],MATCH($E81,sprinkler[sprinkler],0)),
  INDEX(manual_suppression[Probability],MATCH($F81,manual_suppression[manual_suppression],0)),
  INDEX(door_open[Probability],MATCH($G81,door_open[door_open],0)),
  INDEX(smoke_seal[Probability],MATCH($H81,smoke_seal[smoke_seal],0))
)</f>
        <v>2.8007525000000005E-4</v>
      </c>
      <c r="L8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81" t="str">
        <f>event_tree[[#This Row],[ASET_scenario]]&amp;Inputs!$F$8</f>
        <v>X6</v>
      </c>
      <c r="N8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8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81" t="str">
        <f>event_tree[[#This Row],[fire_location]]&amp;Inputs!$F$8</f>
        <v>Apartment6</v>
      </c>
      <c r="Q8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81">
        <f>IF(event_tree[[#This Row],[fire_location]]="Apartment",Inputs!$F$11,Inputs!$F$12)</f>
        <v>60</v>
      </c>
      <c r="S81">
        <f>10+Inputs!$F$8</f>
        <v>16</v>
      </c>
      <c r="T8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81">
        <f>IF(event_tree[[#This Row],[fire_location]]="Apartment",Inputs!$F$12,Inputs!$F$11)</f>
        <v>600</v>
      </c>
      <c r="V81">
        <f>10+Inputs!$F$8</f>
        <v>16</v>
      </c>
      <c r="W81">
        <f>30</f>
        <v>30</v>
      </c>
      <c r="X81" t="str">
        <f>IF(event_tree[[#This Row],[ASET_scenario]]="X","extinguish",
   event_tree[[#This Row],[SOU_tdet]] + event_tree[[#This Row],[SOU_tpre]] + event_tree[[#This Row],[tnot]])</f>
        <v>extinguish</v>
      </c>
      <c r="Y81" t="str">
        <f>IF(event_tree[[#This Row],[ASET_scenario]]="X","extinguish",
   event_tree[[#This Row],[SOU_inside_RSET]] + event_tree[[#This Row],[SOU_ttrav]])</f>
        <v>extinguish</v>
      </c>
      <c r="Z8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81" t="str">
        <f>IF(event_tree[[#This Row],[ASET_scenario]]="X","extinguish", event_tree[[#This Row],[apt_ASET]]/event_tree[[#This Row],[SOU_inside_RSET]])</f>
        <v>extinguish</v>
      </c>
      <c r="AB81" t="str">
        <f>IF(event_tree[[#This Row],[ASET_scenario]]="X","extinguish",event_tree[[#This Row],[cor_ASET]]/event_tree[[#This Row],[SOU_outside_RSET]])</f>
        <v>extinguish</v>
      </c>
      <c r="AC81" t="str">
        <f>IF(event_tree[[#This Row],[ASET_scenario]]="X","extinguish",event_tree[[#This Row],[cor_ASET]]/event_tree[[#This Row],[remote_RSET]])</f>
        <v>extinguish</v>
      </c>
      <c r="AD81" t="b">
        <f>IF(OR(event_tree[[#This Row],[SOU_inside_ratio]]&lt;1,event_tree[[#This Row],[SOU_outside_ratio]]&lt;1),2)</f>
        <v>0</v>
      </c>
      <c r="AE81" t="b">
        <f>IF(event_tree[[#This Row],[remote_ratio]]&lt;1,2*(Inputs!$F$5-1))</f>
        <v>0</v>
      </c>
      <c r="AF81">
        <f>event_tree[[#This Row],[SOU_casualty]]+event_tree[[#This Row],[remote_casualty]]</f>
        <v>0</v>
      </c>
      <c r="AG81">
        <f>event_tree[[#This Row],[fire_frequency]]*event_tree[[#This Row],[probability_of_scenario]]</f>
        <v>2.1845869500000001E-6</v>
      </c>
      <c r="AH81">
        <f>event_tree[[#This Row],[total_casualty]]*event_tree[[#This Row],[fire_probability]]</f>
        <v>0</v>
      </c>
    </row>
    <row r="82" spans="1:34" x14ac:dyDescent="0.25">
      <c r="A82">
        <v>81</v>
      </c>
      <c r="B82" t="str" cm="1">
        <f t="array" ref="B8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2" t="str" cm="1">
        <f t="array" ref="C8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2" t="str" cm="1">
        <f t="array" ref="D8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2" t="str" cm="1">
        <f t="array" ref="E82">INDEX(sprinkler[sprinkler],
  1+MOD(QUOTIENT(ROW()-ROW($B$2),
     ROWS(manual_suppression[manual_suppression])*
     ROWS(door_open[door_open])*
     ROWS(smoke_seal[smoke_seal])
  ),
  ROWS(sprinkler[sprinkler]))
)</f>
        <v>Control</v>
      </c>
      <c r="F82" t="str" cm="1">
        <f t="array" ref="F82">INDEX(manual_suppression[manual_suppression],
  1+MOD(QUOTIENT(ROW()-ROW($B$2),
     ROWS(door_open[door_open])*
     ROWS(smoke_seal[smoke_seal])
  ),
  ROWS(manual_suppression[manual_suppression]))
)</f>
        <v>Fail</v>
      </c>
      <c r="G82" t="str" cm="1">
        <f t="array" ref="G82">INDEX(door_open[door_open],
  1+MOD(QUOTIENT(ROW()-ROW($B$2),
     ROWS(smoke_seal[smoke_seal])
  ),
  ROWS(door_open[door_open]))
)</f>
        <v>Open</v>
      </c>
      <c r="H82" t="str" cm="1">
        <f t="array" ref="H82">INDEX(smoke_seal[smoke_seal],
  1+MOD(ROW()-ROW($B$2), ROWS(smoke_seal[smoke_seal]))
)</f>
        <v>Fail</v>
      </c>
      <c r="I82" t="str">
        <f>IF(event_tree[[#This Row],[door_open]]="Open","Open",IF(event_tree[[#This Row],[smoke_seal]]="Success","Close","Part"))</f>
        <v>Open</v>
      </c>
      <c r="J82">
        <f>IF(B82="apartment",Inputs!$I$7,Inputs!$I$6)</f>
        <v>7.7999999999999996E-3</v>
      </c>
      <c r="K82">
        <f>PRODUCT(
  INDEX(fire_location[Probability],MATCH($B82,fire_location[fire_location],0)),
  INDEX(smoke_detection_apt[Probability],MATCH($C82,smoke_detection_apt[smoke_detection_apt],0)),
  INDEX(smoke_detection_corridor[Probability],MATCH($D82,smoke_detection_corridor[smoke_detection_corridor],0)),
  INDEX(sprinkler[Probability],MATCH($E82,sprinkler[sprinkler],0)),
  INDEX(manual_suppression[Probability],MATCH($F82,manual_suppression[manual_suppression],0)),
  INDEX(door_open[Probability],MATCH($G82,door_open[door_open],0)),
  INDEX(smoke_seal[Probability],MATCH($H82,smoke_seal[smoke_seal],0))
)</f>
        <v>1.4616944999999997E-4</v>
      </c>
      <c r="L8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D</v>
      </c>
      <c r="M82" t="str">
        <f>event_tree[[#This Row],[ASET_scenario]]&amp;Inputs!$F$8</f>
        <v>D6</v>
      </c>
      <c r="N82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82">
        <f>IF(OR(event_tree[[#This Row],[sprinkler]]="Extinguish",event_tree[[#This Row],[manual_suppression]]="Suppress"),"extinguish",_xlfn.XLOOKUP(event_tree[[#This Row],[ASET_helper1]],ASET_data[ASET_helper1],ASET_data[cor_ASET]))</f>
        <v>95</v>
      </c>
      <c r="P82" t="str">
        <f>event_tree[[#This Row],[fire_location]]&amp;Inputs!$F$8</f>
        <v>Apartment6</v>
      </c>
      <c r="Q8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82">
        <f>IF(event_tree[[#This Row],[fire_location]]="Apartment",Inputs!$F$11,Inputs!$F$12)</f>
        <v>60</v>
      </c>
      <c r="S82">
        <f>10+Inputs!$F$8</f>
        <v>16</v>
      </c>
      <c r="T8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82">
        <f>IF(event_tree[[#This Row],[fire_location]]="Apartment",Inputs!$F$12,Inputs!$F$11)</f>
        <v>600</v>
      </c>
      <c r="V82">
        <f>10+Inputs!$F$8</f>
        <v>16</v>
      </c>
      <c r="W82">
        <f>30</f>
        <v>30</v>
      </c>
      <c r="X82">
        <f>IF(event_tree[[#This Row],[ASET_scenario]]="X","extinguish",
   event_tree[[#This Row],[SOU_tdet]] + event_tree[[#This Row],[SOU_tpre]] + event_tree[[#This Row],[tnot]])</f>
        <v>990</v>
      </c>
      <c r="Y82">
        <f>IF(event_tree[[#This Row],[ASET_scenario]]="X","extinguish",
   event_tree[[#This Row],[SOU_inside_RSET]] + event_tree[[#This Row],[SOU_ttrav]])</f>
        <v>1006</v>
      </c>
      <c r="Z82">
        <f>IF(event_tree[[#This Row],[ASET_scenario]]="X","extinguish",
   event_tree[[#This Row],[remote_tdet]] + event_tree[[#This Row],[remote_tpre]] + event_tree[[#This Row],[remote_ttrav]] + event_tree[[#This Row],[tnot]])</f>
        <v>1546</v>
      </c>
      <c r="AA82">
        <f>IF(event_tree[[#This Row],[ASET_scenario]]="X","extinguish", event_tree[[#This Row],[apt_ASET]]/event_tree[[#This Row],[SOU_inside_RSET]])</f>
        <v>6.363636363636363E-2</v>
      </c>
      <c r="AB82">
        <f>IF(event_tree[[#This Row],[ASET_scenario]]="X","extinguish",event_tree[[#This Row],[cor_ASET]]/event_tree[[#This Row],[SOU_outside_RSET]])</f>
        <v>9.4433399602385684E-2</v>
      </c>
      <c r="AC82">
        <f>IF(event_tree[[#This Row],[ASET_scenario]]="X","extinguish",event_tree[[#This Row],[cor_ASET]]/event_tree[[#This Row],[remote_RSET]])</f>
        <v>6.1448900388098318E-2</v>
      </c>
      <c r="AD82">
        <f>IF(OR(event_tree[[#This Row],[SOU_inside_ratio]]&lt;1,event_tree[[#This Row],[SOU_outside_ratio]]&lt;1),2)</f>
        <v>2</v>
      </c>
      <c r="AE82">
        <f>IF(event_tree[[#This Row],[remote_ratio]]&lt;1,2*(Inputs!$F$5-1))</f>
        <v>10</v>
      </c>
      <c r="AF82">
        <f>event_tree[[#This Row],[SOU_casualty]]+event_tree[[#This Row],[remote_casualty]]</f>
        <v>12</v>
      </c>
      <c r="AG82">
        <f>event_tree[[#This Row],[fire_frequency]]*event_tree[[#This Row],[probability_of_scenario]]</f>
        <v>1.1401217099999997E-6</v>
      </c>
      <c r="AH82">
        <f>event_tree[[#This Row],[total_casualty]]*event_tree[[#This Row],[fire_probability]]</f>
        <v>1.3681460519999996E-5</v>
      </c>
    </row>
    <row r="83" spans="1:34" x14ac:dyDescent="0.25">
      <c r="A83">
        <v>82</v>
      </c>
      <c r="B83" t="str" cm="1">
        <f t="array" ref="B8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3" t="str" cm="1">
        <f t="array" ref="C8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3" t="str" cm="1">
        <f t="array" ref="D8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3" t="str" cm="1">
        <f t="array" ref="E83">INDEX(sprinkler[sprinkler],
  1+MOD(QUOTIENT(ROW()-ROW($B$2),
     ROWS(manual_suppression[manual_suppression])*
     ROWS(door_open[door_open])*
     ROWS(smoke_seal[smoke_seal])
  ),
  ROWS(sprinkler[sprinkler]))
)</f>
        <v>Control</v>
      </c>
      <c r="F83" t="str" cm="1">
        <f t="array" ref="F83">INDEX(manual_suppression[manual_suppression],
  1+MOD(QUOTIENT(ROW()-ROW($B$2),
     ROWS(door_open[door_open])*
     ROWS(smoke_seal[smoke_seal])
  ),
  ROWS(manual_suppression[manual_suppression]))
)</f>
        <v>Fail</v>
      </c>
      <c r="G83" t="str" cm="1">
        <f t="array" ref="G83">INDEX(door_open[door_open],
  1+MOD(QUOTIENT(ROW()-ROW($B$2),
     ROWS(smoke_seal[smoke_seal])
  ),
  ROWS(door_open[door_open]))
)</f>
        <v>Open</v>
      </c>
      <c r="H83" t="str" cm="1">
        <f t="array" ref="H83">INDEX(smoke_seal[smoke_seal],
  1+MOD(ROW()-ROW($B$2), ROWS(smoke_seal[smoke_seal]))
)</f>
        <v>Success</v>
      </c>
      <c r="I83" t="str">
        <f>IF(event_tree[[#This Row],[door_open]]="Open","Open",IF(event_tree[[#This Row],[smoke_seal]]="Success","Close","Part"))</f>
        <v>Open</v>
      </c>
      <c r="J83">
        <f>IF(B83="apartment",Inputs!$I$7,Inputs!$I$6)</f>
        <v>7.7999999999999996E-3</v>
      </c>
      <c r="K83">
        <f>PRODUCT(
  INDEX(fire_location[Probability],MATCH($B83,fire_location[fire_location],0)),
  INDEX(smoke_detection_apt[Probability],MATCH($C83,smoke_detection_apt[smoke_detection_apt],0)),
  INDEX(smoke_detection_corridor[Probability],MATCH($D83,smoke_detection_corridor[smoke_detection_corridor],0)),
  INDEX(sprinkler[Probability],MATCH($E83,sprinkler[sprinkler],0)),
  INDEX(manual_suppression[Probability],MATCH($F83,manual_suppression[manual_suppression],0)),
  INDEX(door_open[Probability],MATCH($G83,door_open[door_open],0)),
  INDEX(smoke_seal[Probability],MATCH($H83,smoke_seal[smoke_seal],0))
)</f>
        <v>2.7145754999999998E-4</v>
      </c>
      <c r="L8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D</v>
      </c>
      <c r="M83" t="str">
        <f>event_tree[[#This Row],[ASET_scenario]]&amp;Inputs!$F$8</f>
        <v>D6</v>
      </c>
      <c r="N83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83">
        <f>IF(OR(event_tree[[#This Row],[sprinkler]]="Extinguish",event_tree[[#This Row],[manual_suppression]]="Suppress"),"extinguish",_xlfn.XLOOKUP(event_tree[[#This Row],[ASET_helper1]],ASET_data[ASET_helper1],ASET_data[cor_ASET]))</f>
        <v>95</v>
      </c>
      <c r="P83" t="str">
        <f>event_tree[[#This Row],[fire_location]]&amp;Inputs!$F$8</f>
        <v>Apartment6</v>
      </c>
      <c r="Q8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83">
        <f>IF(event_tree[[#This Row],[fire_location]]="Apartment",Inputs!$F$11,Inputs!$F$12)</f>
        <v>60</v>
      </c>
      <c r="S83">
        <f>10+Inputs!$F$8</f>
        <v>16</v>
      </c>
      <c r="T8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83">
        <f>IF(event_tree[[#This Row],[fire_location]]="Apartment",Inputs!$F$12,Inputs!$F$11)</f>
        <v>600</v>
      </c>
      <c r="V83">
        <f>10+Inputs!$F$8</f>
        <v>16</v>
      </c>
      <c r="W83">
        <f>30</f>
        <v>30</v>
      </c>
      <c r="X83">
        <f>IF(event_tree[[#This Row],[ASET_scenario]]="X","extinguish",
   event_tree[[#This Row],[SOU_tdet]] + event_tree[[#This Row],[SOU_tpre]] + event_tree[[#This Row],[tnot]])</f>
        <v>990</v>
      </c>
      <c r="Y83">
        <f>IF(event_tree[[#This Row],[ASET_scenario]]="X","extinguish",
   event_tree[[#This Row],[SOU_inside_RSET]] + event_tree[[#This Row],[SOU_ttrav]])</f>
        <v>1006</v>
      </c>
      <c r="Z83">
        <f>IF(event_tree[[#This Row],[ASET_scenario]]="X","extinguish",
   event_tree[[#This Row],[remote_tdet]] + event_tree[[#This Row],[remote_tpre]] + event_tree[[#This Row],[remote_ttrav]] + event_tree[[#This Row],[tnot]])</f>
        <v>1546</v>
      </c>
      <c r="AA83">
        <f>IF(event_tree[[#This Row],[ASET_scenario]]="X","extinguish", event_tree[[#This Row],[apt_ASET]]/event_tree[[#This Row],[SOU_inside_RSET]])</f>
        <v>6.363636363636363E-2</v>
      </c>
      <c r="AB83">
        <f>IF(event_tree[[#This Row],[ASET_scenario]]="X","extinguish",event_tree[[#This Row],[cor_ASET]]/event_tree[[#This Row],[SOU_outside_RSET]])</f>
        <v>9.4433399602385684E-2</v>
      </c>
      <c r="AC83">
        <f>IF(event_tree[[#This Row],[ASET_scenario]]="X","extinguish",event_tree[[#This Row],[cor_ASET]]/event_tree[[#This Row],[remote_RSET]])</f>
        <v>6.1448900388098318E-2</v>
      </c>
      <c r="AD83">
        <f>IF(OR(event_tree[[#This Row],[SOU_inside_ratio]]&lt;1,event_tree[[#This Row],[SOU_outside_ratio]]&lt;1),2)</f>
        <v>2</v>
      </c>
      <c r="AE83">
        <f>IF(event_tree[[#This Row],[remote_ratio]]&lt;1,2*(Inputs!$F$5-1))</f>
        <v>10</v>
      </c>
      <c r="AF83">
        <f>event_tree[[#This Row],[SOU_casualty]]+event_tree[[#This Row],[remote_casualty]]</f>
        <v>12</v>
      </c>
      <c r="AG83">
        <f>event_tree[[#This Row],[fire_frequency]]*event_tree[[#This Row],[probability_of_scenario]]</f>
        <v>2.1173688899999999E-6</v>
      </c>
      <c r="AH83">
        <f>event_tree[[#This Row],[total_casualty]]*event_tree[[#This Row],[fire_probability]]</f>
        <v>2.5408426679999998E-5</v>
      </c>
    </row>
    <row r="84" spans="1:34" x14ac:dyDescent="0.25">
      <c r="A84">
        <v>83</v>
      </c>
      <c r="B84" t="str" cm="1">
        <f t="array" ref="B8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4" t="str" cm="1">
        <f t="array" ref="C8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4" t="str" cm="1">
        <f t="array" ref="D8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4" t="str" cm="1">
        <f t="array" ref="E84">INDEX(sprinkler[sprinkler],
  1+MOD(QUOTIENT(ROW()-ROW($B$2),
     ROWS(manual_suppression[manual_suppression])*
     ROWS(door_open[door_open])*
     ROWS(smoke_seal[smoke_seal])
  ),
  ROWS(sprinkler[sprinkler]))
)</f>
        <v>Control</v>
      </c>
      <c r="F84" t="str" cm="1">
        <f t="array" ref="F84">INDEX(manual_suppression[manual_suppression],
  1+MOD(QUOTIENT(ROW()-ROW($B$2),
     ROWS(door_open[door_open])*
     ROWS(smoke_seal[smoke_seal])
  ),
  ROWS(manual_suppression[manual_suppression]))
)</f>
        <v>Fail</v>
      </c>
      <c r="G84" t="str" cm="1">
        <f t="array" ref="G84">INDEX(door_open[door_open],
  1+MOD(QUOTIENT(ROW()-ROW($B$2),
     ROWS(smoke_seal[smoke_seal])
  ),
  ROWS(door_open[door_open]))
)</f>
        <v>Closed</v>
      </c>
      <c r="H84" t="str" cm="1">
        <f t="array" ref="H84">INDEX(smoke_seal[smoke_seal],
  1+MOD(ROW()-ROW($B$2), ROWS(smoke_seal[smoke_seal]))
)</f>
        <v>Fail</v>
      </c>
      <c r="I84" t="str">
        <f>IF(event_tree[[#This Row],[door_open]]="Open","Open",IF(event_tree[[#This Row],[smoke_seal]]="Success","Close","Part"))</f>
        <v>Part</v>
      </c>
      <c r="J84">
        <f>IF(B84="apartment",Inputs!$I$7,Inputs!$I$6)</f>
        <v>7.7999999999999996E-3</v>
      </c>
      <c r="K84">
        <f>PRODUCT(
  INDEX(fire_location[Probability],MATCH($B84,fire_location[fire_location],0)),
  INDEX(smoke_detection_apt[Probability],MATCH($C84,smoke_detection_apt[smoke_detection_apt],0)),
  INDEX(smoke_detection_corridor[Probability],MATCH($D84,smoke_detection_corridor[smoke_detection_corridor],0)),
  INDEX(sprinkler[Probability],MATCH($E84,sprinkler[sprinkler],0)),
  INDEX(manual_suppression[Probability],MATCH($F84,manual_suppression[manual_suppression],0)),
  INDEX(door_open[Probability],MATCH($G84,door_open[door_open],0)),
  INDEX(smoke_seal[Probability],MATCH($H84,smoke_seal[smoke_seal],0))
)</f>
        <v>3.410620499999999E-4</v>
      </c>
      <c r="L8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F</v>
      </c>
      <c r="M84" t="str">
        <f>event_tree[[#This Row],[ASET_scenario]]&amp;Inputs!$F$8</f>
        <v>F6</v>
      </c>
      <c r="N84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84">
        <f>IF(OR(event_tree[[#This Row],[sprinkler]]="Extinguish",event_tree[[#This Row],[manual_suppression]]="Suppress"),"extinguish",_xlfn.XLOOKUP(event_tree[[#This Row],[ASET_helper1]],ASET_data[ASET_helper1],ASET_data[cor_ASET]))</f>
        <v>125</v>
      </c>
      <c r="P84" t="str">
        <f>event_tree[[#This Row],[fire_location]]&amp;Inputs!$F$8</f>
        <v>Apartment6</v>
      </c>
      <c r="Q8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84">
        <f>IF(event_tree[[#This Row],[fire_location]]="Apartment",Inputs!$F$11,Inputs!$F$12)</f>
        <v>60</v>
      </c>
      <c r="S84">
        <f>10+Inputs!$F$8</f>
        <v>16</v>
      </c>
      <c r="T8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84">
        <f>IF(event_tree[[#This Row],[fire_location]]="Apartment",Inputs!$F$12,Inputs!$F$11)</f>
        <v>600</v>
      </c>
      <c r="V84">
        <f>10+Inputs!$F$8</f>
        <v>16</v>
      </c>
      <c r="W84">
        <f>30</f>
        <v>30</v>
      </c>
      <c r="X84">
        <f>IF(event_tree[[#This Row],[ASET_scenario]]="X","extinguish",
   event_tree[[#This Row],[SOU_tdet]] + event_tree[[#This Row],[SOU_tpre]] + event_tree[[#This Row],[tnot]])</f>
        <v>990</v>
      </c>
      <c r="Y84">
        <f>IF(event_tree[[#This Row],[ASET_scenario]]="X","extinguish",
   event_tree[[#This Row],[SOU_inside_RSET]] + event_tree[[#This Row],[SOU_ttrav]])</f>
        <v>1006</v>
      </c>
      <c r="Z84">
        <f>IF(event_tree[[#This Row],[ASET_scenario]]="X","extinguish",
   event_tree[[#This Row],[remote_tdet]] + event_tree[[#This Row],[remote_tpre]] + event_tree[[#This Row],[remote_ttrav]] + event_tree[[#This Row],[tnot]])</f>
        <v>1546</v>
      </c>
      <c r="AA84">
        <f>IF(event_tree[[#This Row],[ASET_scenario]]="X","extinguish", event_tree[[#This Row],[apt_ASET]]/event_tree[[#This Row],[SOU_inside_RSET]])</f>
        <v>6.363636363636363E-2</v>
      </c>
      <c r="AB84">
        <f>IF(event_tree[[#This Row],[ASET_scenario]]="X","extinguish",event_tree[[#This Row],[cor_ASET]]/event_tree[[#This Row],[SOU_outside_RSET]])</f>
        <v>0.1242544731610338</v>
      </c>
      <c r="AC84">
        <f>IF(event_tree[[#This Row],[ASET_scenario]]="X","extinguish",event_tree[[#This Row],[cor_ASET]]/event_tree[[#This Row],[remote_RSET]])</f>
        <v>8.0853816300129361E-2</v>
      </c>
      <c r="AD84">
        <f>IF(OR(event_tree[[#This Row],[SOU_inside_ratio]]&lt;1,event_tree[[#This Row],[SOU_outside_ratio]]&lt;1),2)</f>
        <v>2</v>
      </c>
      <c r="AE84">
        <f>IF(event_tree[[#This Row],[remote_ratio]]&lt;1,2*(Inputs!$F$5-1))</f>
        <v>10</v>
      </c>
      <c r="AF84">
        <f>event_tree[[#This Row],[SOU_casualty]]+event_tree[[#This Row],[remote_casualty]]</f>
        <v>12</v>
      </c>
      <c r="AG84">
        <f>event_tree[[#This Row],[fire_frequency]]*event_tree[[#This Row],[probability_of_scenario]]</f>
        <v>2.6602839899999991E-6</v>
      </c>
      <c r="AH84">
        <f>event_tree[[#This Row],[total_casualty]]*event_tree[[#This Row],[fire_probability]]</f>
        <v>3.192340787999999E-5</v>
      </c>
    </row>
    <row r="85" spans="1:34" x14ac:dyDescent="0.25">
      <c r="A85">
        <v>84</v>
      </c>
      <c r="B85" t="str" cm="1">
        <f t="array" ref="B8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5" t="str" cm="1">
        <f t="array" ref="C8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5" t="str" cm="1">
        <f t="array" ref="D8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5" t="str" cm="1">
        <f t="array" ref="E85">INDEX(sprinkler[sprinkler],
  1+MOD(QUOTIENT(ROW()-ROW($B$2),
     ROWS(manual_suppression[manual_suppression])*
     ROWS(door_open[door_open])*
     ROWS(smoke_seal[smoke_seal])
  ),
  ROWS(sprinkler[sprinkler]))
)</f>
        <v>Control</v>
      </c>
      <c r="F85" t="str" cm="1">
        <f t="array" ref="F85">INDEX(manual_suppression[manual_suppression],
  1+MOD(QUOTIENT(ROW()-ROW($B$2),
     ROWS(door_open[door_open])*
     ROWS(smoke_seal[smoke_seal])
  ),
  ROWS(manual_suppression[manual_suppression]))
)</f>
        <v>Fail</v>
      </c>
      <c r="G85" t="str" cm="1">
        <f t="array" ref="G85">INDEX(door_open[door_open],
  1+MOD(QUOTIENT(ROW()-ROW($B$2),
     ROWS(smoke_seal[smoke_seal])
  ),
  ROWS(door_open[door_open]))
)</f>
        <v>Closed</v>
      </c>
      <c r="H85" t="str" cm="1">
        <f t="array" ref="H85">INDEX(smoke_seal[smoke_seal],
  1+MOD(ROW()-ROW($B$2), ROWS(smoke_seal[smoke_seal]))
)</f>
        <v>Success</v>
      </c>
      <c r="I85" t="str">
        <f>IF(event_tree[[#This Row],[door_open]]="Open","Open",IF(event_tree[[#This Row],[smoke_seal]]="Success","Close","Part"))</f>
        <v>Close</v>
      </c>
      <c r="J85">
        <f>IF(B85="apartment",Inputs!$I$7,Inputs!$I$6)</f>
        <v>7.7999999999999996E-3</v>
      </c>
      <c r="K85">
        <f>PRODUCT(
  INDEX(fire_location[Probability],MATCH($B85,fire_location[fire_location],0)),
  INDEX(smoke_detection_apt[Probability],MATCH($C85,smoke_detection_apt[smoke_detection_apt],0)),
  INDEX(smoke_detection_corridor[Probability],MATCH($D85,smoke_detection_corridor[smoke_detection_corridor],0)),
  INDEX(sprinkler[Probability],MATCH($E85,sprinkler[sprinkler],0)),
  INDEX(manual_suppression[Probability],MATCH($F85,manual_suppression[manual_suppression],0)),
  INDEX(door_open[Probability],MATCH($G85,door_open[door_open],0)),
  INDEX(smoke_seal[Probability],MATCH($H85,smoke_seal[smoke_seal],0))
)</f>
        <v>6.3340094999999989E-4</v>
      </c>
      <c r="L8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E</v>
      </c>
      <c r="M85" t="str">
        <f>event_tree[[#This Row],[ASET_scenario]]&amp;Inputs!$F$8</f>
        <v>E6</v>
      </c>
      <c r="N85">
        <f>IF(OR(event_tree[[#This Row],[sprinkler]]="Extinguish",event_tree[[#This Row],[manual_suppression]]="Suppress"),"extinguish",_xlfn.XLOOKUP(event_tree[[#This Row],[ASET_helper1]],ASET_data[ASET_helper1],ASET_data[apt_ASET]))</f>
        <v>63</v>
      </c>
      <c r="O85">
        <f>IF(OR(event_tree[[#This Row],[sprinkler]]="Extinguish",event_tree[[#This Row],[manual_suppression]]="Suppress"),"extinguish",_xlfn.XLOOKUP(event_tree[[#This Row],[ASET_helper1]],ASET_data[ASET_helper1],ASET_data[cor_ASET]))</f>
        <v>3600</v>
      </c>
      <c r="P85" t="str">
        <f>event_tree[[#This Row],[fire_location]]&amp;Inputs!$F$8</f>
        <v>Apartment6</v>
      </c>
      <c r="Q8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85">
        <f>IF(event_tree[[#This Row],[fire_location]]="Apartment",Inputs!$F$11,Inputs!$F$12)</f>
        <v>60</v>
      </c>
      <c r="S85">
        <f>10+Inputs!$F$8</f>
        <v>16</v>
      </c>
      <c r="T8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85">
        <f>IF(event_tree[[#This Row],[fire_location]]="Apartment",Inputs!$F$12,Inputs!$F$11)</f>
        <v>600</v>
      </c>
      <c r="V85">
        <f>10+Inputs!$F$8</f>
        <v>16</v>
      </c>
      <c r="W85">
        <f>30</f>
        <v>30</v>
      </c>
      <c r="X85">
        <f>IF(event_tree[[#This Row],[ASET_scenario]]="X","extinguish",
   event_tree[[#This Row],[SOU_tdet]] + event_tree[[#This Row],[SOU_tpre]] + event_tree[[#This Row],[tnot]])</f>
        <v>990</v>
      </c>
      <c r="Y85">
        <f>IF(event_tree[[#This Row],[ASET_scenario]]="X","extinguish",
   event_tree[[#This Row],[SOU_inside_RSET]] + event_tree[[#This Row],[SOU_ttrav]])</f>
        <v>1006</v>
      </c>
      <c r="Z85">
        <f>IF(event_tree[[#This Row],[ASET_scenario]]="X","extinguish",
   event_tree[[#This Row],[remote_tdet]] + event_tree[[#This Row],[remote_tpre]] + event_tree[[#This Row],[remote_ttrav]] + event_tree[[#This Row],[tnot]])</f>
        <v>1546</v>
      </c>
      <c r="AA85">
        <f>IF(event_tree[[#This Row],[ASET_scenario]]="X","extinguish", event_tree[[#This Row],[apt_ASET]]/event_tree[[#This Row],[SOU_inside_RSET]])</f>
        <v>6.363636363636363E-2</v>
      </c>
      <c r="AB85">
        <f>IF(event_tree[[#This Row],[ASET_scenario]]="X","extinguish",event_tree[[#This Row],[cor_ASET]]/event_tree[[#This Row],[SOU_outside_RSET]])</f>
        <v>3.5785288270377733</v>
      </c>
      <c r="AC85">
        <f>IF(event_tree[[#This Row],[ASET_scenario]]="X","extinguish",event_tree[[#This Row],[cor_ASET]]/event_tree[[#This Row],[remote_RSET]])</f>
        <v>2.3285899094437257</v>
      </c>
      <c r="AD85">
        <f>IF(OR(event_tree[[#This Row],[SOU_inside_ratio]]&lt;1,event_tree[[#This Row],[SOU_outside_ratio]]&lt;1),2)</f>
        <v>2</v>
      </c>
      <c r="AE85" t="b">
        <f>IF(event_tree[[#This Row],[remote_ratio]]&lt;1,2*(Inputs!$F$5-1))</f>
        <v>0</v>
      </c>
      <c r="AF85">
        <f>event_tree[[#This Row],[SOU_casualty]]+event_tree[[#This Row],[remote_casualty]]</f>
        <v>2</v>
      </c>
      <c r="AG85">
        <f>event_tree[[#This Row],[fire_frequency]]*event_tree[[#This Row],[probability_of_scenario]]</f>
        <v>4.9405274099999988E-6</v>
      </c>
      <c r="AH85">
        <f>event_tree[[#This Row],[total_casualty]]*event_tree[[#This Row],[fire_probability]]</f>
        <v>9.8810548199999976E-6</v>
      </c>
    </row>
    <row r="86" spans="1:34" x14ac:dyDescent="0.25">
      <c r="A86">
        <v>85</v>
      </c>
      <c r="B86" t="str" cm="1">
        <f t="array" ref="B8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6" t="str" cm="1">
        <f t="array" ref="C8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6" t="str" cm="1">
        <f t="array" ref="D8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6" t="str" cm="1">
        <f t="array" ref="E86">INDEX(sprinkler[sprinkler],
  1+MOD(QUOTIENT(ROW()-ROW($B$2),
     ROWS(manual_suppression[manual_suppression])*
     ROWS(door_open[door_open])*
     ROWS(smoke_seal[smoke_seal])
  ),
  ROWS(sprinkler[sprinkler]))
)</f>
        <v>Control</v>
      </c>
      <c r="F86" t="str" cm="1">
        <f t="array" ref="F86">INDEX(manual_suppression[manual_suppression],
  1+MOD(QUOTIENT(ROW()-ROW($B$2),
     ROWS(door_open[door_open])*
     ROWS(smoke_seal[smoke_seal])
  ),
  ROWS(manual_suppression[manual_suppression]))
)</f>
        <v>Suppress</v>
      </c>
      <c r="G86" t="str" cm="1">
        <f t="array" ref="G86">INDEX(door_open[door_open],
  1+MOD(QUOTIENT(ROW()-ROW($B$2),
     ROWS(smoke_seal[smoke_seal])
  ),
  ROWS(door_open[door_open]))
)</f>
        <v>Open</v>
      </c>
      <c r="H86" t="str" cm="1">
        <f t="array" ref="H86">INDEX(smoke_seal[smoke_seal],
  1+MOD(ROW()-ROW($B$2), ROWS(smoke_seal[smoke_seal]))
)</f>
        <v>Fail</v>
      </c>
      <c r="I86" t="str">
        <f>IF(event_tree[[#This Row],[door_open]]="Open","Open",IF(event_tree[[#This Row],[smoke_seal]]="Success","Close","Part"))</f>
        <v>Open</v>
      </c>
      <c r="J86">
        <f>IF(B86="apartment",Inputs!$I$7,Inputs!$I$6)</f>
        <v>7.7999999999999996E-3</v>
      </c>
      <c r="K86">
        <f>PRODUCT(
  INDEX(fire_location[Probability],MATCH($B86,fire_location[fire_location],0)),
  INDEX(smoke_detection_apt[Probability],MATCH($C86,smoke_detection_apt[smoke_detection_apt],0)),
  INDEX(smoke_detection_corridor[Probability],MATCH($D86,smoke_detection_corridor[smoke_detection_corridor],0)),
  INDEX(sprinkler[Probability],MATCH($E86,sprinkler[sprinkler],0)),
  INDEX(manual_suppression[Probability],MATCH($F86,manual_suppression[manual_suppression],0)),
  INDEX(door_open[Probability],MATCH($G86,door_open[door_open],0)),
  INDEX(smoke_seal[Probability],MATCH($H86,smoke_seal[smoke_seal],0))
)</f>
        <v>2.7145754999999998E-4</v>
      </c>
      <c r="L8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86" t="str">
        <f>event_tree[[#This Row],[ASET_scenario]]&amp;Inputs!$F$8</f>
        <v>X6</v>
      </c>
      <c r="N8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8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86" t="str">
        <f>event_tree[[#This Row],[fire_location]]&amp;Inputs!$F$8</f>
        <v>Apartment6</v>
      </c>
      <c r="Q8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86">
        <f>IF(event_tree[[#This Row],[fire_location]]="Apartment",Inputs!$F$11,Inputs!$F$12)</f>
        <v>60</v>
      </c>
      <c r="S86">
        <f>10+Inputs!$F$8</f>
        <v>16</v>
      </c>
      <c r="T8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86">
        <f>IF(event_tree[[#This Row],[fire_location]]="Apartment",Inputs!$F$12,Inputs!$F$11)</f>
        <v>600</v>
      </c>
      <c r="V86">
        <f>10+Inputs!$F$8</f>
        <v>16</v>
      </c>
      <c r="W86">
        <f>30</f>
        <v>30</v>
      </c>
      <c r="X86" t="str">
        <f>IF(event_tree[[#This Row],[ASET_scenario]]="X","extinguish",
   event_tree[[#This Row],[SOU_tdet]] + event_tree[[#This Row],[SOU_tpre]] + event_tree[[#This Row],[tnot]])</f>
        <v>extinguish</v>
      </c>
      <c r="Y86" t="str">
        <f>IF(event_tree[[#This Row],[ASET_scenario]]="X","extinguish",
   event_tree[[#This Row],[SOU_inside_RSET]] + event_tree[[#This Row],[SOU_ttrav]])</f>
        <v>extinguish</v>
      </c>
      <c r="Z8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86" t="str">
        <f>IF(event_tree[[#This Row],[ASET_scenario]]="X","extinguish", event_tree[[#This Row],[apt_ASET]]/event_tree[[#This Row],[SOU_inside_RSET]])</f>
        <v>extinguish</v>
      </c>
      <c r="AB86" t="str">
        <f>IF(event_tree[[#This Row],[ASET_scenario]]="X","extinguish",event_tree[[#This Row],[cor_ASET]]/event_tree[[#This Row],[SOU_outside_RSET]])</f>
        <v>extinguish</v>
      </c>
      <c r="AC86" t="str">
        <f>IF(event_tree[[#This Row],[ASET_scenario]]="X","extinguish",event_tree[[#This Row],[cor_ASET]]/event_tree[[#This Row],[remote_RSET]])</f>
        <v>extinguish</v>
      </c>
      <c r="AD86" t="b">
        <f>IF(OR(event_tree[[#This Row],[SOU_inside_ratio]]&lt;1,event_tree[[#This Row],[SOU_outside_ratio]]&lt;1),2)</f>
        <v>0</v>
      </c>
      <c r="AE86" t="b">
        <f>IF(event_tree[[#This Row],[remote_ratio]]&lt;1,2*(Inputs!$F$5-1))</f>
        <v>0</v>
      </c>
      <c r="AF86">
        <f>event_tree[[#This Row],[SOU_casualty]]+event_tree[[#This Row],[remote_casualty]]</f>
        <v>0</v>
      </c>
      <c r="AG86">
        <f>event_tree[[#This Row],[fire_frequency]]*event_tree[[#This Row],[probability_of_scenario]]</f>
        <v>2.1173688899999999E-6</v>
      </c>
      <c r="AH86">
        <f>event_tree[[#This Row],[total_casualty]]*event_tree[[#This Row],[fire_probability]]</f>
        <v>0</v>
      </c>
    </row>
    <row r="87" spans="1:34" x14ac:dyDescent="0.25">
      <c r="A87">
        <v>86</v>
      </c>
      <c r="B87" t="str" cm="1">
        <f t="array" ref="B8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7" t="str" cm="1">
        <f t="array" ref="C8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7" t="str" cm="1">
        <f t="array" ref="D8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7" t="str" cm="1">
        <f t="array" ref="E87">INDEX(sprinkler[sprinkler],
  1+MOD(QUOTIENT(ROW()-ROW($B$2),
     ROWS(manual_suppression[manual_suppression])*
     ROWS(door_open[door_open])*
     ROWS(smoke_seal[smoke_seal])
  ),
  ROWS(sprinkler[sprinkler]))
)</f>
        <v>Control</v>
      </c>
      <c r="F87" t="str" cm="1">
        <f t="array" ref="F87">INDEX(manual_suppression[manual_suppression],
  1+MOD(QUOTIENT(ROW()-ROW($B$2),
     ROWS(door_open[door_open])*
     ROWS(smoke_seal[smoke_seal])
  ),
  ROWS(manual_suppression[manual_suppression]))
)</f>
        <v>Suppress</v>
      </c>
      <c r="G87" t="str" cm="1">
        <f t="array" ref="G87">INDEX(door_open[door_open],
  1+MOD(QUOTIENT(ROW()-ROW($B$2),
     ROWS(smoke_seal[smoke_seal])
  ),
  ROWS(door_open[door_open]))
)</f>
        <v>Open</v>
      </c>
      <c r="H87" t="str" cm="1">
        <f t="array" ref="H87">INDEX(smoke_seal[smoke_seal],
  1+MOD(ROW()-ROW($B$2), ROWS(smoke_seal[smoke_seal]))
)</f>
        <v>Success</v>
      </c>
      <c r="I87" t="str">
        <f>IF(event_tree[[#This Row],[door_open]]="Open","Open",IF(event_tree[[#This Row],[smoke_seal]]="Success","Close","Part"))</f>
        <v>Open</v>
      </c>
      <c r="J87">
        <f>IF(B87="apartment",Inputs!$I$7,Inputs!$I$6)</f>
        <v>7.7999999999999996E-3</v>
      </c>
      <c r="K87">
        <f>PRODUCT(
  INDEX(fire_location[Probability],MATCH($B87,fire_location[fire_location],0)),
  INDEX(smoke_detection_apt[Probability],MATCH($C87,smoke_detection_apt[smoke_detection_apt],0)),
  INDEX(smoke_detection_corridor[Probability],MATCH($D87,smoke_detection_corridor[smoke_detection_corridor],0)),
  INDEX(sprinkler[Probability],MATCH($E87,sprinkler[sprinkler],0)),
  INDEX(manual_suppression[Probability],MATCH($F87,manual_suppression[manual_suppression],0)),
  INDEX(door_open[Probability],MATCH($G87,door_open[door_open],0)),
  INDEX(smoke_seal[Probability],MATCH($H87,smoke_seal[smoke_seal],0))
)</f>
        <v>5.0413545E-4</v>
      </c>
      <c r="L8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87" t="str">
        <f>event_tree[[#This Row],[ASET_scenario]]&amp;Inputs!$F$8</f>
        <v>X6</v>
      </c>
      <c r="N8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8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87" t="str">
        <f>event_tree[[#This Row],[fire_location]]&amp;Inputs!$F$8</f>
        <v>Apartment6</v>
      </c>
      <c r="Q8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87">
        <f>IF(event_tree[[#This Row],[fire_location]]="Apartment",Inputs!$F$11,Inputs!$F$12)</f>
        <v>60</v>
      </c>
      <c r="S87">
        <f>10+Inputs!$F$8</f>
        <v>16</v>
      </c>
      <c r="T8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87">
        <f>IF(event_tree[[#This Row],[fire_location]]="Apartment",Inputs!$F$12,Inputs!$F$11)</f>
        <v>600</v>
      </c>
      <c r="V87">
        <f>10+Inputs!$F$8</f>
        <v>16</v>
      </c>
      <c r="W87">
        <f>30</f>
        <v>30</v>
      </c>
      <c r="X87" t="str">
        <f>IF(event_tree[[#This Row],[ASET_scenario]]="X","extinguish",
   event_tree[[#This Row],[SOU_tdet]] + event_tree[[#This Row],[SOU_tpre]] + event_tree[[#This Row],[tnot]])</f>
        <v>extinguish</v>
      </c>
      <c r="Y87" t="str">
        <f>IF(event_tree[[#This Row],[ASET_scenario]]="X","extinguish",
   event_tree[[#This Row],[SOU_inside_RSET]] + event_tree[[#This Row],[SOU_ttrav]])</f>
        <v>extinguish</v>
      </c>
      <c r="Z8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87" t="str">
        <f>IF(event_tree[[#This Row],[ASET_scenario]]="X","extinguish", event_tree[[#This Row],[apt_ASET]]/event_tree[[#This Row],[SOU_inside_RSET]])</f>
        <v>extinguish</v>
      </c>
      <c r="AB87" t="str">
        <f>IF(event_tree[[#This Row],[ASET_scenario]]="X","extinguish",event_tree[[#This Row],[cor_ASET]]/event_tree[[#This Row],[SOU_outside_RSET]])</f>
        <v>extinguish</v>
      </c>
      <c r="AC87" t="str">
        <f>IF(event_tree[[#This Row],[ASET_scenario]]="X","extinguish",event_tree[[#This Row],[cor_ASET]]/event_tree[[#This Row],[remote_RSET]])</f>
        <v>extinguish</v>
      </c>
      <c r="AD87" t="b">
        <f>IF(OR(event_tree[[#This Row],[SOU_inside_ratio]]&lt;1,event_tree[[#This Row],[SOU_outside_ratio]]&lt;1),2)</f>
        <v>0</v>
      </c>
      <c r="AE87" t="b">
        <f>IF(event_tree[[#This Row],[remote_ratio]]&lt;1,2*(Inputs!$F$5-1))</f>
        <v>0</v>
      </c>
      <c r="AF87">
        <f>event_tree[[#This Row],[SOU_casualty]]+event_tree[[#This Row],[remote_casualty]]</f>
        <v>0</v>
      </c>
      <c r="AG87">
        <f>event_tree[[#This Row],[fire_frequency]]*event_tree[[#This Row],[probability_of_scenario]]</f>
        <v>3.9322565099999996E-6</v>
      </c>
      <c r="AH87">
        <f>event_tree[[#This Row],[total_casualty]]*event_tree[[#This Row],[fire_probability]]</f>
        <v>0</v>
      </c>
    </row>
    <row r="88" spans="1:34" x14ac:dyDescent="0.25">
      <c r="A88">
        <v>87</v>
      </c>
      <c r="B88" t="str" cm="1">
        <f t="array" ref="B8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8" t="str" cm="1">
        <f t="array" ref="C8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8" t="str" cm="1">
        <f t="array" ref="D8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8" t="str" cm="1">
        <f t="array" ref="E88">INDEX(sprinkler[sprinkler],
  1+MOD(QUOTIENT(ROW()-ROW($B$2),
     ROWS(manual_suppression[manual_suppression])*
     ROWS(door_open[door_open])*
     ROWS(smoke_seal[smoke_seal])
  ),
  ROWS(sprinkler[sprinkler]))
)</f>
        <v>Control</v>
      </c>
      <c r="F88" t="str" cm="1">
        <f t="array" ref="F88">INDEX(manual_suppression[manual_suppression],
  1+MOD(QUOTIENT(ROW()-ROW($B$2),
     ROWS(door_open[door_open])*
     ROWS(smoke_seal[smoke_seal])
  ),
  ROWS(manual_suppression[manual_suppression]))
)</f>
        <v>Suppress</v>
      </c>
      <c r="G88" t="str" cm="1">
        <f t="array" ref="G88">INDEX(door_open[door_open],
  1+MOD(QUOTIENT(ROW()-ROW($B$2),
     ROWS(smoke_seal[smoke_seal])
  ),
  ROWS(door_open[door_open]))
)</f>
        <v>Closed</v>
      </c>
      <c r="H88" t="str" cm="1">
        <f t="array" ref="H88">INDEX(smoke_seal[smoke_seal],
  1+MOD(ROW()-ROW($B$2), ROWS(smoke_seal[smoke_seal]))
)</f>
        <v>Fail</v>
      </c>
      <c r="I88" t="str">
        <f>IF(event_tree[[#This Row],[door_open]]="Open","Open",IF(event_tree[[#This Row],[smoke_seal]]="Success","Close","Part"))</f>
        <v>Part</v>
      </c>
      <c r="J88">
        <f>IF(B88="apartment",Inputs!$I$7,Inputs!$I$6)</f>
        <v>7.7999999999999996E-3</v>
      </c>
      <c r="K88">
        <f>PRODUCT(
  INDEX(fire_location[Probability],MATCH($B88,fire_location[fire_location],0)),
  INDEX(smoke_detection_apt[Probability],MATCH($C88,smoke_detection_apt[smoke_detection_apt],0)),
  INDEX(smoke_detection_corridor[Probability],MATCH($D88,smoke_detection_corridor[smoke_detection_corridor],0)),
  INDEX(sprinkler[Probability],MATCH($E88,sprinkler[sprinkler],0)),
  INDEX(manual_suppression[Probability],MATCH($F88,manual_suppression[manual_suppression],0)),
  INDEX(door_open[Probability],MATCH($G88,door_open[door_open],0)),
  INDEX(smoke_seal[Probability],MATCH($H88,smoke_seal[smoke_seal],0))
)</f>
        <v>6.3340094999999989E-4</v>
      </c>
      <c r="L8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88" t="str">
        <f>event_tree[[#This Row],[ASET_scenario]]&amp;Inputs!$F$8</f>
        <v>X6</v>
      </c>
      <c r="N8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8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88" t="str">
        <f>event_tree[[#This Row],[fire_location]]&amp;Inputs!$F$8</f>
        <v>Apartment6</v>
      </c>
      <c r="Q8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88">
        <f>IF(event_tree[[#This Row],[fire_location]]="Apartment",Inputs!$F$11,Inputs!$F$12)</f>
        <v>60</v>
      </c>
      <c r="S88">
        <f>10+Inputs!$F$8</f>
        <v>16</v>
      </c>
      <c r="T8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88">
        <f>IF(event_tree[[#This Row],[fire_location]]="Apartment",Inputs!$F$12,Inputs!$F$11)</f>
        <v>600</v>
      </c>
      <c r="V88">
        <f>10+Inputs!$F$8</f>
        <v>16</v>
      </c>
      <c r="W88">
        <f>30</f>
        <v>30</v>
      </c>
      <c r="X88" t="str">
        <f>IF(event_tree[[#This Row],[ASET_scenario]]="X","extinguish",
   event_tree[[#This Row],[SOU_tdet]] + event_tree[[#This Row],[SOU_tpre]] + event_tree[[#This Row],[tnot]])</f>
        <v>extinguish</v>
      </c>
      <c r="Y88" t="str">
        <f>IF(event_tree[[#This Row],[ASET_scenario]]="X","extinguish",
   event_tree[[#This Row],[SOU_inside_RSET]] + event_tree[[#This Row],[SOU_ttrav]])</f>
        <v>extinguish</v>
      </c>
      <c r="Z8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88" t="str">
        <f>IF(event_tree[[#This Row],[ASET_scenario]]="X","extinguish", event_tree[[#This Row],[apt_ASET]]/event_tree[[#This Row],[SOU_inside_RSET]])</f>
        <v>extinguish</v>
      </c>
      <c r="AB88" t="str">
        <f>IF(event_tree[[#This Row],[ASET_scenario]]="X","extinguish",event_tree[[#This Row],[cor_ASET]]/event_tree[[#This Row],[SOU_outside_RSET]])</f>
        <v>extinguish</v>
      </c>
      <c r="AC88" t="str">
        <f>IF(event_tree[[#This Row],[ASET_scenario]]="X","extinguish",event_tree[[#This Row],[cor_ASET]]/event_tree[[#This Row],[remote_RSET]])</f>
        <v>extinguish</v>
      </c>
      <c r="AD88" t="b">
        <f>IF(OR(event_tree[[#This Row],[SOU_inside_ratio]]&lt;1,event_tree[[#This Row],[SOU_outside_ratio]]&lt;1),2)</f>
        <v>0</v>
      </c>
      <c r="AE88" t="b">
        <f>IF(event_tree[[#This Row],[remote_ratio]]&lt;1,2*(Inputs!$F$5-1))</f>
        <v>0</v>
      </c>
      <c r="AF88">
        <f>event_tree[[#This Row],[SOU_casualty]]+event_tree[[#This Row],[remote_casualty]]</f>
        <v>0</v>
      </c>
      <c r="AG88">
        <f>event_tree[[#This Row],[fire_frequency]]*event_tree[[#This Row],[probability_of_scenario]]</f>
        <v>4.9405274099999988E-6</v>
      </c>
      <c r="AH88">
        <f>event_tree[[#This Row],[total_casualty]]*event_tree[[#This Row],[fire_probability]]</f>
        <v>0</v>
      </c>
    </row>
    <row r="89" spans="1:34" x14ac:dyDescent="0.25">
      <c r="A89">
        <v>88</v>
      </c>
      <c r="B89" t="str" cm="1">
        <f t="array" ref="B8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89" t="str" cm="1">
        <f t="array" ref="C8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89" t="str" cm="1">
        <f t="array" ref="D8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89" t="str" cm="1">
        <f t="array" ref="E89">INDEX(sprinkler[sprinkler],
  1+MOD(QUOTIENT(ROW()-ROW($B$2),
     ROWS(manual_suppression[manual_suppression])*
     ROWS(door_open[door_open])*
     ROWS(smoke_seal[smoke_seal])
  ),
  ROWS(sprinkler[sprinkler]))
)</f>
        <v>Control</v>
      </c>
      <c r="F89" t="str" cm="1">
        <f t="array" ref="F89">INDEX(manual_suppression[manual_suppression],
  1+MOD(QUOTIENT(ROW()-ROW($B$2),
     ROWS(door_open[door_open])*
     ROWS(smoke_seal[smoke_seal])
  ),
  ROWS(manual_suppression[manual_suppression]))
)</f>
        <v>Suppress</v>
      </c>
      <c r="G89" t="str" cm="1">
        <f t="array" ref="G89">INDEX(door_open[door_open],
  1+MOD(QUOTIENT(ROW()-ROW($B$2),
     ROWS(smoke_seal[smoke_seal])
  ),
  ROWS(door_open[door_open]))
)</f>
        <v>Closed</v>
      </c>
      <c r="H89" t="str" cm="1">
        <f t="array" ref="H89">INDEX(smoke_seal[smoke_seal],
  1+MOD(ROW()-ROW($B$2), ROWS(smoke_seal[smoke_seal]))
)</f>
        <v>Success</v>
      </c>
      <c r="I89" t="str">
        <f>IF(event_tree[[#This Row],[door_open]]="Open","Open",IF(event_tree[[#This Row],[smoke_seal]]="Success","Close","Part"))</f>
        <v>Close</v>
      </c>
      <c r="J89">
        <f>IF(B89="apartment",Inputs!$I$7,Inputs!$I$6)</f>
        <v>7.7999999999999996E-3</v>
      </c>
      <c r="K89">
        <f>PRODUCT(
  INDEX(fire_location[Probability],MATCH($B89,fire_location[fire_location],0)),
  INDEX(smoke_detection_apt[Probability],MATCH($C89,smoke_detection_apt[smoke_detection_apt],0)),
  INDEX(smoke_detection_corridor[Probability],MATCH($D89,smoke_detection_corridor[smoke_detection_corridor],0)),
  INDEX(sprinkler[Probability],MATCH($E89,sprinkler[sprinkler],0)),
  INDEX(manual_suppression[Probability],MATCH($F89,manual_suppression[manual_suppression],0)),
  INDEX(door_open[Probability],MATCH($G89,door_open[door_open],0)),
  INDEX(smoke_seal[Probability],MATCH($H89,smoke_seal[smoke_seal],0))
)</f>
        <v>1.17631605E-3</v>
      </c>
      <c r="L8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89" t="str">
        <f>event_tree[[#This Row],[ASET_scenario]]&amp;Inputs!$F$8</f>
        <v>X6</v>
      </c>
      <c r="N8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8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89" t="str">
        <f>event_tree[[#This Row],[fire_location]]&amp;Inputs!$F$8</f>
        <v>Apartment6</v>
      </c>
      <c r="Q8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89">
        <f>IF(event_tree[[#This Row],[fire_location]]="Apartment",Inputs!$F$11,Inputs!$F$12)</f>
        <v>60</v>
      </c>
      <c r="S89">
        <f>10+Inputs!$F$8</f>
        <v>16</v>
      </c>
      <c r="T8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89">
        <f>IF(event_tree[[#This Row],[fire_location]]="Apartment",Inputs!$F$12,Inputs!$F$11)</f>
        <v>600</v>
      </c>
      <c r="V89">
        <f>10+Inputs!$F$8</f>
        <v>16</v>
      </c>
      <c r="W89">
        <f>30</f>
        <v>30</v>
      </c>
      <c r="X89" t="str">
        <f>IF(event_tree[[#This Row],[ASET_scenario]]="X","extinguish",
   event_tree[[#This Row],[SOU_tdet]] + event_tree[[#This Row],[SOU_tpre]] + event_tree[[#This Row],[tnot]])</f>
        <v>extinguish</v>
      </c>
      <c r="Y89" t="str">
        <f>IF(event_tree[[#This Row],[ASET_scenario]]="X","extinguish",
   event_tree[[#This Row],[SOU_inside_RSET]] + event_tree[[#This Row],[SOU_ttrav]])</f>
        <v>extinguish</v>
      </c>
      <c r="Z8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89" t="str">
        <f>IF(event_tree[[#This Row],[ASET_scenario]]="X","extinguish", event_tree[[#This Row],[apt_ASET]]/event_tree[[#This Row],[SOU_inside_RSET]])</f>
        <v>extinguish</v>
      </c>
      <c r="AB89" t="str">
        <f>IF(event_tree[[#This Row],[ASET_scenario]]="X","extinguish",event_tree[[#This Row],[cor_ASET]]/event_tree[[#This Row],[SOU_outside_RSET]])</f>
        <v>extinguish</v>
      </c>
      <c r="AC89" t="str">
        <f>IF(event_tree[[#This Row],[ASET_scenario]]="X","extinguish",event_tree[[#This Row],[cor_ASET]]/event_tree[[#This Row],[remote_RSET]])</f>
        <v>extinguish</v>
      </c>
      <c r="AD89" t="b">
        <f>IF(OR(event_tree[[#This Row],[SOU_inside_ratio]]&lt;1,event_tree[[#This Row],[SOU_outside_ratio]]&lt;1),2)</f>
        <v>0</v>
      </c>
      <c r="AE89" t="b">
        <f>IF(event_tree[[#This Row],[remote_ratio]]&lt;1,2*(Inputs!$F$5-1))</f>
        <v>0</v>
      </c>
      <c r="AF89">
        <f>event_tree[[#This Row],[SOU_casualty]]+event_tree[[#This Row],[remote_casualty]]</f>
        <v>0</v>
      </c>
      <c r="AG89">
        <f>event_tree[[#This Row],[fire_frequency]]*event_tree[[#This Row],[probability_of_scenario]]</f>
        <v>9.1752651899999994E-6</v>
      </c>
      <c r="AH89">
        <f>event_tree[[#This Row],[total_casualty]]*event_tree[[#This Row],[fire_probability]]</f>
        <v>0</v>
      </c>
    </row>
    <row r="90" spans="1:34" x14ac:dyDescent="0.25">
      <c r="A90">
        <v>89</v>
      </c>
      <c r="B90" t="str" cm="1">
        <f t="array" ref="B9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90" t="str" cm="1">
        <f t="array" ref="C9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90" t="str" cm="1">
        <f t="array" ref="D9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90" t="str" cm="1">
        <f t="array" ref="E90">INDEX(sprinkler[sprinkler],
  1+MOD(QUOTIENT(ROW()-ROW($B$2),
     ROWS(manual_suppression[manual_suppression])*
     ROWS(door_open[door_open])*
     ROWS(smoke_seal[smoke_seal])
  ),
  ROWS(sprinkler[sprinkler]))
)</f>
        <v>Extinguish</v>
      </c>
      <c r="F90" t="str" cm="1">
        <f t="array" ref="F90">INDEX(manual_suppression[manual_suppression],
  1+MOD(QUOTIENT(ROW()-ROW($B$2),
     ROWS(door_open[door_open])*
     ROWS(smoke_seal[smoke_seal])
  ),
  ROWS(manual_suppression[manual_suppression]))
)</f>
        <v>Fail</v>
      </c>
      <c r="G90" t="str" cm="1">
        <f t="array" ref="G90">INDEX(door_open[door_open],
  1+MOD(QUOTIENT(ROW()-ROW($B$2),
     ROWS(smoke_seal[smoke_seal])
  ),
  ROWS(door_open[door_open]))
)</f>
        <v>Open</v>
      </c>
      <c r="H90" t="str" cm="1">
        <f t="array" ref="H90">INDEX(smoke_seal[smoke_seal],
  1+MOD(ROW()-ROW($B$2), ROWS(smoke_seal[smoke_seal]))
)</f>
        <v>Fail</v>
      </c>
      <c r="I90" t="str">
        <f>IF(event_tree[[#This Row],[door_open]]="Open","Open",IF(event_tree[[#This Row],[smoke_seal]]="Success","Close","Part"))</f>
        <v>Open</v>
      </c>
      <c r="J90">
        <f>IF(B90="apartment",Inputs!$I$7,Inputs!$I$6)</f>
        <v>7.7999999999999996E-3</v>
      </c>
      <c r="K90">
        <f>PRODUCT(
  INDEX(fire_location[Probability],MATCH($B90,fire_location[fire_location],0)),
  INDEX(smoke_detection_apt[Probability],MATCH($C90,smoke_detection_apt[smoke_detection_apt],0)),
  INDEX(smoke_detection_corridor[Probability],MATCH($D90,smoke_detection_corridor[smoke_detection_corridor],0)),
  INDEX(sprinkler[Probability],MATCH($E90,sprinkler[sprinkler],0)),
  INDEX(manual_suppression[Probability],MATCH($F90,manual_suppression[manual_suppression],0)),
  INDEX(door_open[Probability],MATCH($G90,door_open[door_open],0)),
  INDEX(smoke_seal[Probability],MATCH($H90,smoke_seal[smoke_seal],0))
)</f>
        <v>1.6705079999999997E-4</v>
      </c>
      <c r="L9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90" t="str">
        <f>event_tree[[#This Row],[ASET_scenario]]&amp;Inputs!$F$8</f>
        <v>X6</v>
      </c>
      <c r="N9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9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90" t="str">
        <f>event_tree[[#This Row],[fire_location]]&amp;Inputs!$F$8</f>
        <v>Apartment6</v>
      </c>
      <c r="Q9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90">
        <f>IF(event_tree[[#This Row],[fire_location]]="Apartment",Inputs!$F$11,Inputs!$F$12)</f>
        <v>60</v>
      </c>
      <c r="S90">
        <f>10+Inputs!$F$8</f>
        <v>16</v>
      </c>
      <c r="T9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90">
        <f>IF(event_tree[[#This Row],[fire_location]]="Apartment",Inputs!$F$12,Inputs!$F$11)</f>
        <v>600</v>
      </c>
      <c r="V90">
        <f>10+Inputs!$F$8</f>
        <v>16</v>
      </c>
      <c r="W90">
        <f>30</f>
        <v>30</v>
      </c>
      <c r="X90" t="str">
        <f>IF(event_tree[[#This Row],[ASET_scenario]]="X","extinguish",
   event_tree[[#This Row],[SOU_tdet]] + event_tree[[#This Row],[SOU_tpre]] + event_tree[[#This Row],[tnot]])</f>
        <v>extinguish</v>
      </c>
      <c r="Y90" t="str">
        <f>IF(event_tree[[#This Row],[ASET_scenario]]="X","extinguish",
   event_tree[[#This Row],[SOU_inside_RSET]] + event_tree[[#This Row],[SOU_ttrav]])</f>
        <v>extinguish</v>
      </c>
      <c r="Z9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90" t="str">
        <f>IF(event_tree[[#This Row],[ASET_scenario]]="X","extinguish", event_tree[[#This Row],[apt_ASET]]/event_tree[[#This Row],[SOU_inside_RSET]])</f>
        <v>extinguish</v>
      </c>
      <c r="AB90" t="str">
        <f>IF(event_tree[[#This Row],[ASET_scenario]]="X","extinguish",event_tree[[#This Row],[cor_ASET]]/event_tree[[#This Row],[SOU_outside_RSET]])</f>
        <v>extinguish</v>
      </c>
      <c r="AC90" t="str">
        <f>IF(event_tree[[#This Row],[ASET_scenario]]="X","extinguish",event_tree[[#This Row],[cor_ASET]]/event_tree[[#This Row],[remote_RSET]])</f>
        <v>extinguish</v>
      </c>
      <c r="AD90" t="b">
        <f>IF(OR(event_tree[[#This Row],[SOU_inside_ratio]]&lt;1,event_tree[[#This Row],[SOU_outside_ratio]]&lt;1),2)</f>
        <v>0</v>
      </c>
      <c r="AE90" t="b">
        <f>IF(event_tree[[#This Row],[remote_ratio]]&lt;1,2*(Inputs!$F$5-1))</f>
        <v>0</v>
      </c>
      <c r="AF90">
        <f>event_tree[[#This Row],[SOU_casualty]]+event_tree[[#This Row],[remote_casualty]]</f>
        <v>0</v>
      </c>
      <c r="AG90">
        <f>event_tree[[#This Row],[fire_frequency]]*event_tree[[#This Row],[probability_of_scenario]]</f>
        <v>1.3029962399999998E-6</v>
      </c>
      <c r="AH90">
        <f>event_tree[[#This Row],[total_casualty]]*event_tree[[#This Row],[fire_probability]]</f>
        <v>0</v>
      </c>
    </row>
    <row r="91" spans="1:34" x14ac:dyDescent="0.25">
      <c r="A91">
        <v>90</v>
      </c>
      <c r="B91" t="str" cm="1">
        <f t="array" ref="B9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91" t="str" cm="1">
        <f t="array" ref="C9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91" t="str" cm="1">
        <f t="array" ref="D9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91" t="str" cm="1">
        <f t="array" ref="E91">INDEX(sprinkler[sprinkler],
  1+MOD(QUOTIENT(ROW()-ROW($B$2),
     ROWS(manual_suppression[manual_suppression])*
     ROWS(door_open[door_open])*
     ROWS(smoke_seal[smoke_seal])
  ),
  ROWS(sprinkler[sprinkler]))
)</f>
        <v>Extinguish</v>
      </c>
      <c r="F91" t="str" cm="1">
        <f t="array" ref="F91">INDEX(manual_suppression[manual_suppression],
  1+MOD(QUOTIENT(ROW()-ROW($B$2),
     ROWS(door_open[door_open])*
     ROWS(smoke_seal[smoke_seal])
  ),
  ROWS(manual_suppression[manual_suppression]))
)</f>
        <v>Fail</v>
      </c>
      <c r="G91" t="str" cm="1">
        <f t="array" ref="G91">INDEX(door_open[door_open],
  1+MOD(QUOTIENT(ROW()-ROW($B$2),
     ROWS(smoke_seal[smoke_seal])
  ),
  ROWS(door_open[door_open]))
)</f>
        <v>Open</v>
      </c>
      <c r="H91" t="str" cm="1">
        <f t="array" ref="H91">INDEX(smoke_seal[smoke_seal],
  1+MOD(ROW()-ROW($B$2), ROWS(smoke_seal[smoke_seal]))
)</f>
        <v>Success</v>
      </c>
      <c r="I91" t="str">
        <f>IF(event_tree[[#This Row],[door_open]]="Open","Open",IF(event_tree[[#This Row],[smoke_seal]]="Success","Close","Part"))</f>
        <v>Open</v>
      </c>
      <c r="J91">
        <f>IF(B91="apartment",Inputs!$I$7,Inputs!$I$6)</f>
        <v>7.7999999999999996E-3</v>
      </c>
      <c r="K91">
        <f>PRODUCT(
  INDEX(fire_location[Probability],MATCH($B91,fire_location[fire_location],0)),
  INDEX(smoke_detection_apt[Probability],MATCH($C91,smoke_detection_apt[smoke_detection_apt],0)),
  INDEX(smoke_detection_corridor[Probability],MATCH($D91,smoke_detection_corridor[smoke_detection_corridor],0)),
  INDEX(sprinkler[Probability],MATCH($E91,sprinkler[sprinkler],0)),
  INDEX(manual_suppression[Probability],MATCH($F91,manual_suppression[manual_suppression],0)),
  INDEX(door_open[Probability],MATCH($G91,door_open[door_open],0)),
  INDEX(smoke_seal[Probability],MATCH($H91,smoke_seal[smoke_seal],0))
)</f>
        <v>3.1023720000000001E-4</v>
      </c>
      <c r="L9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91" t="str">
        <f>event_tree[[#This Row],[ASET_scenario]]&amp;Inputs!$F$8</f>
        <v>X6</v>
      </c>
      <c r="N9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9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91" t="str">
        <f>event_tree[[#This Row],[fire_location]]&amp;Inputs!$F$8</f>
        <v>Apartment6</v>
      </c>
      <c r="Q9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91">
        <f>IF(event_tree[[#This Row],[fire_location]]="Apartment",Inputs!$F$11,Inputs!$F$12)</f>
        <v>60</v>
      </c>
      <c r="S91">
        <f>10+Inputs!$F$8</f>
        <v>16</v>
      </c>
      <c r="T9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91">
        <f>IF(event_tree[[#This Row],[fire_location]]="Apartment",Inputs!$F$12,Inputs!$F$11)</f>
        <v>600</v>
      </c>
      <c r="V91">
        <f>10+Inputs!$F$8</f>
        <v>16</v>
      </c>
      <c r="W91">
        <f>30</f>
        <v>30</v>
      </c>
      <c r="X91" t="str">
        <f>IF(event_tree[[#This Row],[ASET_scenario]]="X","extinguish",
   event_tree[[#This Row],[SOU_tdet]] + event_tree[[#This Row],[SOU_tpre]] + event_tree[[#This Row],[tnot]])</f>
        <v>extinguish</v>
      </c>
      <c r="Y91" t="str">
        <f>IF(event_tree[[#This Row],[ASET_scenario]]="X","extinguish",
   event_tree[[#This Row],[SOU_inside_RSET]] + event_tree[[#This Row],[SOU_ttrav]])</f>
        <v>extinguish</v>
      </c>
      <c r="Z9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91" t="str">
        <f>IF(event_tree[[#This Row],[ASET_scenario]]="X","extinguish", event_tree[[#This Row],[apt_ASET]]/event_tree[[#This Row],[SOU_inside_RSET]])</f>
        <v>extinguish</v>
      </c>
      <c r="AB91" t="str">
        <f>IF(event_tree[[#This Row],[ASET_scenario]]="X","extinguish",event_tree[[#This Row],[cor_ASET]]/event_tree[[#This Row],[SOU_outside_RSET]])</f>
        <v>extinguish</v>
      </c>
      <c r="AC91" t="str">
        <f>IF(event_tree[[#This Row],[ASET_scenario]]="X","extinguish",event_tree[[#This Row],[cor_ASET]]/event_tree[[#This Row],[remote_RSET]])</f>
        <v>extinguish</v>
      </c>
      <c r="AD91" t="b">
        <f>IF(OR(event_tree[[#This Row],[SOU_inside_ratio]]&lt;1,event_tree[[#This Row],[SOU_outside_ratio]]&lt;1),2)</f>
        <v>0</v>
      </c>
      <c r="AE91" t="b">
        <f>IF(event_tree[[#This Row],[remote_ratio]]&lt;1,2*(Inputs!$F$5-1))</f>
        <v>0</v>
      </c>
      <c r="AF91">
        <f>event_tree[[#This Row],[SOU_casualty]]+event_tree[[#This Row],[remote_casualty]]</f>
        <v>0</v>
      </c>
      <c r="AG91">
        <f>event_tree[[#This Row],[fire_frequency]]*event_tree[[#This Row],[probability_of_scenario]]</f>
        <v>2.41985016E-6</v>
      </c>
      <c r="AH91">
        <f>event_tree[[#This Row],[total_casualty]]*event_tree[[#This Row],[fire_probability]]</f>
        <v>0</v>
      </c>
    </row>
    <row r="92" spans="1:34" x14ac:dyDescent="0.25">
      <c r="A92">
        <v>91</v>
      </c>
      <c r="B92" t="str" cm="1">
        <f t="array" ref="B9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92" t="str" cm="1">
        <f t="array" ref="C9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92" t="str" cm="1">
        <f t="array" ref="D9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92" t="str" cm="1">
        <f t="array" ref="E92">INDEX(sprinkler[sprinkler],
  1+MOD(QUOTIENT(ROW()-ROW($B$2),
     ROWS(manual_suppression[manual_suppression])*
     ROWS(door_open[door_open])*
     ROWS(smoke_seal[smoke_seal])
  ),
  ROWS(sprinkler[sprinkler]))
)</f>
        <v>Extinguish</v>
      </c>
      <c r="F92" t="str" cm="1">
        <f t="array" ref="F92">INDEX(manual_suppression[manual_suppression],
  1+MOD(QUOTIENT(ROW()-ROW($B$2),
     ROWS(door_open[door_open])*
     ROWS(smoke_seal[smoke_seal])
  ),
  ROWS(manual_suppression[manual_suppression]))
)</f>
        <v>Fail</v>
      </c>
      <c r="G92" t="str" cm="1">
        <f t="array" ref="G92">INDEX(door_open[door_open],
  1+MOD(QUOTIENT(ROW()-ROW($B$2),
     ROWS(smoke_seal[smoke_seal])
  ),
  ROWS(door_open[door_open]))
)</f>
        <v>Closed</v>
      </c>
      <c r="H92" t="str" cm="1">
        <f t="array" ref="H92">INDEX(smoke_seal[smoke_seal],
  1+MOD(ROW()-ROW($B$2), ROWS(smoke_seal[smoke_seal]))
)</f>
        <v>Fail</v>
      </c>
      <c r="I92" t="str">
        <f>IF(event_tree[[#This Row],[door_open]]="Open","Open",IF(event_tree[[#This Row],[smoke_seal]]="Success","Close","Part"))</f>
        <v>Part</v>
      </c>
      <c r="J92">
        <f>IF(B92="apartment",Inputs!$I$7,Inputs!$I$6)</f>
        <v>7.7999999999999996E-3</v>
      </c>
      <c r="K92">
        <f>PRODUCT(
  INDEX(fire_location[Probability],MATCH($B92,fire_location[fire_location],0)),
  INDEX(smoke_detection_apt[Probability],MATCH($C92,smoke_detection_apt[smoke_detection_apt],0)),
  INDEX(smoke_detection_corridor[Probability],MATCH($D92,smoke_detection_corridor[smoke_detection_corridor],0)),
  INDEX(sprinkler[Probability],MATCH($E92,sprinkler[sprinkler],0)),
  INDEX(manual_suppression[Probability],MATCH($F92,manual_suppression[manual_suppression],0)),
  INDEX(door_open[Probability],MATCH($G92,door_open[door_open],0)),
  INDEX(smoke_seal[Probability],MATCH($H92,smoke_seal[smoke_seal],0))
)</f>
        <v>3.8978519999999998E-4</v>
      </c>
      <c r="L9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92" t="str">
        <f>event_tree[[#This Row],[ASET_scenario]]&amp;Inputs!$F$8</f>
        <v>X6</v>
      </c>
      <c r="N9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9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92" t="str">
        <f>event_tree[[#This Row],[fire_location]]&amp;Inputs!$F$8</f>
        <v>Apartment6</v>
      </c>
      <c r="Q9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92">
        <f>IF(event_tree[[#This Row],[fire_location]]="Apartment",Inputs!$F$11,Inputs!$F$12)</f>
        <v>60</v>
      </c>
      <c r="S92">
        <f>10+Inputs!$F$8</f>
        <v>16</v>
      </c>
      <c r="T9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92">
        <f>IF(event_tree[[#This Row],[fire_location]]="Apartment",Inputs!$F$12,Inputs!$F$11)</f>
        <v>600</v>
      </c>
      <c r="V92">
        <f>10+Inputs!$F$8</f>
        <v>16</v>
      </c>
      <c r="W92">
        <f>30</f>
        <v>30</v>
      </c>
      <c r="X92" t="str">
        <f>IF(event_tree[[#This Row],[ASET_scenario]]="X","extinguish",
   event_tree[[#This Row],[SOU_tdet]] + event_tree[[#This Row],[SOU_tpre]] + event_tree[[#This Row],[tnot]])</f>
        <v>extinguish</v>
      </c>
      <c r="Y92" t="str">
        <f>IF(event_tree[[#This Row],[ASET_scenario]]="X","extinguish",
   event_tree[[#This Row],[SOU_inside_RSET]] + event_tree[[#This Row],[SOU_ttrav]])</f>
        <v>extinguish</v>
      </c>
      <c r="Z9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92" t="str">
        <f>IF(event_tree[[#This Row],[ASET_scenario]]="X","extinguish", event_tree[[#This Row],[apt_ASET]]/event_tree[[#This Row],[SOU_inside_RSET]])</f>
        <v>extinguish</v>
      </c>
      <c r="AB92" t="str">
        <f>IF(event_tree[[#This Row],[ASET_scenario]]="X","extinguish",event_tree[[#This Row],[cor_ASET]]/event_tree[[#This Row],[SOU_outside_RSET]])</f>
        <v>extinguish</v>
      </c>
      <c r="AC92" t="str">
        <f>IF(event_tree[[#This Row],[ASET_scenario]]="X","extinguish",event_tree[[#This Row],[cor_ASET]]/event_tree[[#This Row],[remote_RSET]])</f>
        <v>extinguish</v>
      </c>
      <c r="AD92" t="b">
        <f>IF(OR(event_tree[[#This Row],[SOU_inside_ratio]]&lt;1,event_tree[[#This Row],[SOU_outside_ratio]]&lt;1),2)</f>
        <v>0</v>
      </c>
      <c r="AE92" t="b">
        <f>IF(event_tree[[#This Row],[remote_ratio]]&lt;1,2*(Inputs!$F$5-1))</f>
        <v>0</v>
      </c>
      <c r="AF92">
        <f>event_tree[[#This Row],[SOU_casualty]]+event_tree[[#This Row],[remote_casualty]]</f>
        <v>0</v>
      </c>
      <c r="AG92">
        <f>event_tree[[#This Row],[fire_frequency]]*event_tree[[#This Row],[probability_of_scenario]]</f>
        <v>3.0403245599999997E-6</v>
      </c>
      <c r="AH92">
        <f>event_tree[[#This Row],[total_casualty]]*event_tree[[#This Row],[fire_probability]]</f>
        <v>0</v>
      </c>
    </row>
    <row r="93" spans="1:34" x14ac:dyDescent="0.25">
      <c r="A93">
        <v>92</v>
      </c>
      <c r="B93" t="str" cm="1">
        <f t="array" ref="B9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93" t="str" cm="1">
        <f t="array" ref="C9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93" t="str" cm="1">
        <f t="array" ref="D9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93" t="str" cm="1">
        <f t="array" ref="E93">INDEX(sprinkler[sprinkler],
  1+MOD(QUOTIENT(ROW()-ROW($B$2),
     ROWS(manual_suppression[manual_suppression])*
     ROWS(door_open[door_open])*
     ROWS(smoke_seal[smoke_seal])
  ),
  ROWS(sprinkler[sprinkler]))
)</f>
        <v>Extinguish</v>
      </c>
      <c r="F93" t="str" cm="1">
        <f t="array" ref="F93">INDEX(manual_suppression[manual_suppression],
  1+MOD(QUOTIENT(ROW()-ROW($B$2),
     ROWS(door_open[door_open])*
     ROWS(smoke_seal[smoke_seal])
  ),
  ROWS(manual_suppression[manual_suppression]))
)</f>
        <v>Fail</v>
      </c>
      <c r="G93" t="str" cm="1">
        <f t="array" ref="G93">INDEX(door_open[door_open],
  1+MOD(QUOTIENT(ROW()-ROW($B$2),
     ROWS(smoke_seal[smoke_seal])
  ),
  ROWS(door_open[door_open]))
)</f>
        <v>Closed</v>
      </c>
      <c r="H93" t="str" cm="1">
        <f t="array" ref="H93">INDEX(smoke_seal[smoke_seal],
  1+MOD(ROW()-ROW($B$2), ROWS(smoke_seal[smoke_seal]))
)</f>
        <v>Success</v>
      </c>
      <c r="I93" t="str">
        <f>IF(event_tree[[#This Row],[door_open]]="Open","Open",IF(event_tree[[#This Row],[smoke_seal]]="Success","Close","Part"))</f>
        <v>Close</v>
      </c>
      <c r="J93">
        <f>IF(B93="apartment",Inputs!$I$7,Inputs!$I$6)</f>
        <v>7.7999999999999996E-3</v>
      </c>
      <c r="K93">
        <f>PRODUCT(
  INDEX(fire_location[Probability],MATCH($B93,fire_location[fire_location],0)),
  INDEX(smoke_detection_apt[Probability],MATCH($C93,smoke_detection_apt[smoke_detection_apt],0)),
  INDEX(smoke_detection_corridor[Probability],MATCH($D93,smoke_detection_corridor[smoke_detection_corridor],0)),
  INDEX(sprinkler[Probability],MATCH($E93,sprinkler[sprinkler],0)),
  INDEX(manual_suppression[Probability],MATCH($F93,manual_suppression[manual_suppression],0)),
  INDEX(door_open[Probability],MATCH($G93,door_open[door_open],0)),
  INDEX(smoke_seal[Probability],MATCH($H93,smoke_seal[smoke_seal],0))
)</f>
        <v>7.2388680000000003E-4</v>
      </c>
      <c r="L9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93" t="str">
        <f>event_tree[[#This Row],[ASET_scenario]]&amp;Inputs!$F$8</f>
        <v>X6</v>
      </c>
      <c r="N9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9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93" t="str">
        <f>event_tree[[#This Row],[fire_location]]&amp;Inputs!$F$8</f>
        <v>Apartment6</v>
      </c>
      <c r="Q9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93">
        <f>IF(event_tree[[#This Row],[fire_location]]="Apartment",Inputs!$F$11,Inputs!$F$12)</f>
        <v>60</v>
      </c>
      <c r="S93">
        <f>10+Inputs!$F$8</f>
        <v>16</v>
      </c>
      <c r="T9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93">
        <f>IF(event_tree[[#This Row],[fire_location]]="Apartment",Inputs!$F$12,Inputs!$F$11)</f>
        <v>600</v>
      </c>
      <c r="V93">
        <f>10+Inputs!$F$8</f>
        <v>16</v>
      </c>
      <c r="W93">
        <f>30</f>
        <v>30</v>
      </c>
      <c r="X93" t="str">
        <f>IF(event_tree[[#This Row],[ASET_scenario]]="X","extinguish",
   event_tree[[#This Row],[SOU_tdet]] + event_tree[[#This Row],[SOU_tpre]] + event_tree[[#This Row],[tnot]])</f>
        <v>extinguish</v>
      </c>
      <c r="Y93" t="str">
        <f>IF(event_tree[[#This Row],[ASET_scenario]]="X","extinguish",
   event_tree[[#This Row],[SOU_inside_RSET]] + event_tree[[#This Row],[SOU_ttrav]])</f>
        <v>extinguish</v>
      </c>
      <c r="Z9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93" t="str">
        <f>IF(event_tree[[#This Row],[ASET_scenario]]="X","extinguish", event_tree[[#This Row],[apt_ASET]]/event_tree[[#This Row],[SOU_inside_RSET]])</f>
        <v>extinguish</v>
      </c>
      <c r="AB93" t="str">
        <f>IF(event_tree[[#This Row],[ASET_scenario]]="X","extinguish",event_tree[[#This Row],[cor_ASET]]/event_tree[[#This Row],[SOU_outside_RSET]])</f>
        <v>extinguish</v>
      </c>
      <c r="AC93" t="str">
        <f>IF(event_tree[[#This Row],[ASET_scenario]]="X","extinguish",event_tree[[#This Row],[cor_ASET]]/event_tree[[#This Row],[remote_RSET]])</f>
        <v>extinguish</v>
      </c>
      <c r="AD93" t="b">
        <f>IF(OR(event_tree[[#This Row],[SOU_inside_ratio]]&lt;1,event_tree[[#This Row],[SOU_outside_ratio]]&lt;1),2)</f>
        <v>0</v>
      </c>
      <c r="AE93" t="b">
        <f>IF(event_tree[[#This Row],[remote_ratio]]&lt;1,2*(Inputs!$F$5-1))</f>
        <v>0</v>
      </c>
      <c r="AF93">
        <f>event_tree[[#This Row],[SOU_casualty]]+event_tree[[#This Row],[remote_casualty]]</f>
        <v>0</v>
      </c>
      <c r="AG93">
        <f>event_tree[[#This Row],[fire_frequency]]*event_tree[[#This Row],[probability_of_scenario]]</f>
        <v>5.6463170399999996E-6</v>
      </c>
      <c r="AH93">
        <f>event_tree[[#This Row],[total_casualty]]*event_tree[[#This Row],[fire_probability]]</f>
        <v>0</v>
      </c>
    </row>
    <row r="94" spans="1:34" x14ac:dyDescent="0.25">
      <c r="A94">
        <v>93</v>
      </c>
      <c r="B94" t="str" cm="1">
        <f t="array" ref="B9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94" t="str" cm="1">
        <f t="array" ref="C9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94" t="str" cm="1">
        <f t="array" ref="D9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94" t="str" cm="1">
        <f t="array" ref="E94">INDEX(sprinkler[sprinkler],
  1+MOD(QUOTIENT(ROW()-ROW($B$2),
     ROWS(manual_suppression[manual_suppression])*
     ROWS(door_open[door_open])*
     ROWS(smoke_seal[smoke_seal])
  ),
  ROWS(sprinkler[sprinkler]))
)</f>
        <v>Extinguish</v>
      </c>
      <c r="F94" t="str" cm="1">
        <f t="array" ref="F94">INDEX(manual_suppression[manual_suppression],
  1+MOD(QUOTIENT(ROW()-ROW($B$2),
     ROWS(door_open[door_open])*
     ROWS(smoke_seal[smoke_seal])
  ),
  ROWS(manual_suppression[manual_suppression]))
)</f>
        <v>Suppress</v>
      </c>
      <c r="G94" t="str" cm="1">
        <f t="array" ref="G94">INDEX(door_open[door_open],
  1+MOD(QUOTIENT(ROW()-ROW($B$2),
     ROWS(smoke_seal[smoke_seal])
  ),
  ROWS(door_open[door_open]))
)</f>
        <v>Open</v>
      </c>
      <c r="H94" t="str" cm="1">
        <f t="array" ref="H94">INDEX(smoke_seal[smoke_seal],
  1+MOD(ROW()-ROW($B$2), ROWS(smoke_seal[smoke_seal]))
)</f>
        <v>Fail</v>
      </c>
      <c r="I94" t="str">
        <f>IF(event_tree[[#This Row],[door_open]]="Open","Open",IF(event_tree[[#This Row],[smoke_seal]]="Success","Close","Part"))</f>
        <v>Open</v>
      </c>
      <c r="J94">
        <f>IF(B94="apartment",Inputs!$I$7,Inputs!$I$6)</f>
        <v>7.7999999999999996E-3</v>
      </c>
      <c r="K94">
        <f>PRODUCT(
  INDEX(fire_location[Probability],MATCH($B94,fire_location[fire_location],0)),
  INDEX(smoke_detection_apt[Probability],MATCH($C94,smoke_detection_apt[smoke_detection_apt],0)),
  INDEX(smoke_detection_corridor[Probability],MATCH($D94,smoke_detection_corridor[smoke_detection_corridor],0)),
  INDEX(sprinkler[Probability],MATCH($E94,sprinkler[sprinkler],0)),
  INDEX(manual_suppression[Probability],MATCH($F94,manual_suppression[manual_suppression],0)),
  INDEX(door_open[Probability],MATCH($G94,door_open[door_open],0)),
  INDEX(smoke_seal[Probability],MATCH($H94,smoke_seal[smoke_seal],0))
)</f>
        <v>3.1023719999999995E-4</v>
      </c>
      <c r="L9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94" t="str">
        <f>event_tree[[#This Row],[ASET_scenario]]&amp;Inputs!$F$8</f>
        <v>X6</v>
      </c>
      <c r="N9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9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94" t="str">
        <f>event_tree[[#This Row],[fire_location]]&amp;Inputs!$F$8</f>
        <v>Apartment6</v>
      </c>
      <c r="Q9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94">
        <f>IF(event_tree[[#This Row],[fire_location]]="Apartment",Inputs!$F$11,Inputs!$F$12)</f>
        <v>60</v>
      </c>
      <c r="S94">
        <f>10+Inputs!$F$8</f>
        <v>16</v>
      </c>
      <c r="T9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94">
        <f>IF(event_tree[[#This Row],[fire_location]]="Apartment",Inputs!$F$12,Inputs!$F$11)</f>
        <v>600</v>
      </c>
      <c r="V94">
        <f>10+Inputs!$F$8</f>
        <v>16</v>
      </c>
      <c r="W94">
        <f>30</f>
        <v>30</v>
      </c>
      <c r="X94" t="str">
        <f>IF(event_tree[[#This Row],[ASET_scenario]]="X","extinguish",
   event_tree[[#This Row],[SOU_tdet]] + event_tree[[#This Row],[SOU_tpre]] + event_tree[[#This Row],[tnot]])</f>
        <v>extinguish</v>
      </c>
      <c r="Y94" t="str">
        <f>IF(event_tree[[#This Row],[ASET_scenario]]="X","extinguish",
   event_tree[[#This Row],[SOU_inside_RSET]] + event_tree[[#This Row],[SOU_ttrav]])</f>
        <v>extinguish</v>
      </c>
      <c r="Z9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94" t="str">
        <f>IF(event_tree[[#This Row],[ASET_scenario]]="X","extinguish", event_tree[[#This Row],[apt_ASET]]/event_tree[[#This Row],[SOU_inside_RSET]])</f>
        <v>extinguish</v>
      </c>
      <c r="AB94" t="str">
        <f>IF(event_tree[[#This Row],[ASET_scenario]]="X","extinguish",event_tree[[#This Row],[cor_ASET]]/event_tree[[#This Row],[SOU_outside_RSET]])</f>
        <v>extinguish</v>
      </c>
      <c r="AC94" t="str">
        <f>IF(event_tree[[#This Row],[ASET_scenario]]="X","extinguish",event_tree[[#This Row],[cor_ASET]]/event_tree[[#This Row],[remote_RSET]])</f>
        <v>extinguish</v>
      </c>
      <c r="AD94" t="b">
        <f>IF(OR(event_tree[[#This Row],[SOU_inside_ratio]]&lt;1,event_tree[[#This Row],[SOU_outside_ratio]]&lt;1),2)</f>
        <v>0</v>
      </c>
      <c r="AE94" t="b">
        <f>IF(event_tree[[#This Row],[remote_ratio]]&lt;1,2*(Inputs!$F$5-1))</f>
        <v>0</v>
      </c>
      <c r="AF94">
        <f>event_tree[[#This Row],[SOU_casualty]]+event_tree[[#This Row],[remote_casualty]]</f>
        <v>0</v>
      </c>
      <c r="AG94">
        <f>event_tree[[#This Row],[fire_frequency]]*event_tree[[#This Row],[probability_of_scenario]]</f>
        <v>2.4198501599999995E-6</v>
      </c>
      <c r="AH94">
        <f>event_tree[[#This Row],[total_casualty]]*event_tree[[#This Row],[fire_probability]]</f>
        <v>0</v>
      </c>
    </row>
    <row r="95" spans="1:34" x14ac:dyDescent="0.25">
      <c r="A95">
        <v>94</v>
      </c>
      <c r="B95" t="str" cm="1">
        <f t="array" ref="B9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95" t="str" cm="1">
        <f t="array" ref="C9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95" t="str" cm="1">
        <f t="array" ref="D9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95" t="str" cm="1">
        <f t="array" ref="E95">INDEX(sprinkler[sprinkler],
  1+MOD(QUOTIENT(ROW()-ROW($B$2),
     ROWS(manual_suppression[manual_suppression])*
     ROWS(door_open[door_open])*
     ROWS(smoke_seal[smoke_seal])
  ),
  ROWS(sprinkler[sprinkler]))
)</f>
        <v>Extinguish</v>
      </c>
      <c r="F95" t="str" cm="1">
        <f t="array" ref="F95">INDEX(manual_suppression[manual_suppression],
  1+MOD(QUOTIENT(ROW()-ROW($B$2),
     ROWS(door_open[door_open])*
     ROWS(smoke_seal[smoke_seal])
  ),
  ROWS(manual_suppression[manual_suppression]))
)</f>
        <v>Suppress</v>
      </c>
      <c r="G95" t="str" cm="1">
        <f t="array" ref="G95">INDEX(door_open[door_open],
  1+MOD(QUOTIENT(ROW()-ROW($B$2),
     ROWS(smoke_seal[smoke_seal])
  ),
  ROWS(door_open[door_open]))
)</f>
        <v>Open</v>
      </c>
      <c r="H95" t="str" cm="1">
        <f t="array" ref="H95">INDEX(smoke_seal[smoke_seal],
  1+MOD(ROW()-ROW($B$2), ROWS(smoke_seal[smoke_seal]))
)</f>
        <v>Success</v>
      </c>
      <c r="I95" t="str">
        <f>IF(event_tree[[#This Row],[door_open]]="Open","Open",IF(event_tree[[#This Row],[smoke_seal]]="Success","Close","Part"))</f>
        <v>Open</v>
      </c>
      <c r="J95">
        <f>IF(B95="apartment",Inputs!$I$7,Inputs!$I$6)</f>
        <v>7.7999999999999996E-3</v>
      </c>
      <c r="K95">
        <f>PRODUCT(
  INDEX(fire_location[Probability],MATCH($B95,fire_location[fire_location],0)),
  INDEX(smoke_detection_apt[Probability],MATCH($C95,smoke_detection_apt[smoke_detection_apt],0)),
  INDEX(smoke_detection_corridor[Probability],MATCH($D95,smoke_detection_corridor[smoke_detection_corridor],0)),
  INDEX(sprinkler[Probability],MATCH($E95,sprinkler[sprinkler],0)),
  INDEX(manual_suppression[Probability],MATCH($F95,manual_suppression[manual_suppression],0)),
  INDEX(door_open[Probability],MATCH($G95,door_open[door_open],0)),
  INDEX(smoke_seal[Probability],MATCH($H95,smoke_seal[smoke_seal],0))
)</f>
        <v>5.761548E-4</v>
      </c>
      <c r="L9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95" t="str">
        <f>event_tree[[#This Row],[ASET_scenario]]&amp;Inputs!$F$8</f>
        <v>X6</v>
      </c>
      <c r="N9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9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95" t="str">
        <f>event_tree[[#This Row],[fire_location]]&amp;Inputs!$F$8</f>
        <v>Apartment6</v>
      </c>
      <c r="Q9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95">
        <f>IF(event_tree[[#This Row],[fire_location]]="Apartment",Inputs!$F$11,Inputs!$F$12)</f>
        <v>60</v>
      </c>
      <c r="S95">
        <f>10+Inputs!$F$8</f>
        <v>16</v>
      </c>
      <c r="T9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95">
        <f>IF(event_tree[[#This Row],[fire_location]]="Apartment",Inputs!$F$12,Inputs!$F$11)</f>
        <v>600</v>
      </c>
      <c r="V95">
        <f>10+Inputs!$F$8</f>
        <v>16</v>
      </c>
      <c r="W95">
        <f>30</f>
        <v>30</v>
      </c>
      <c r="X95" t="str">
        <f>IF(event_tree[[#This Row],[ASET_scenario]]="X","extinguish",
   event_tree[[#This Row],[SOU_tdet]] + event_tree[[#This Row],[SOU_tpre]] + event_tree[[#This Row],[tnot]])</f>
        <v>extinguish</v>
      </c>
      <c r="Y95" t="str">
        <f>IF(event_tree[[#This Row],[ASET_scenario]]="X","extinguish",
   event_tree[[#This Row],[SOU_inside_RSET]] + event_tree[[#This Row],[SOU_ttrav]])</f>
        <v>extinguish</v>
      </c>
      <c r="Z9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95" t="str">
        <f>IF(event_tree[[#This Row],[ASET_scenario]]="X","extinguish", event_tree[[#This Row],[apt_ASET]]/event_tree[[#This Row],[SOU_inside_RSET]])</f>
        <v>extinguish</v>
      </c>
      <c r="AB95" t="str">
        <f>IF(event_tree[[#This Row],[ASET_scenario]]="X","extinguish",event_tree[[#This Row],[cor_ASET]]/event_tree[[#This Row],[SOU_outside_RSET]])</f>
        <v>extinguish</v>
      </c>
      <c r="AC95" t="str">
        <f>IF(event_tree[[#This Row],[ASET_scenario]]="X","extinguish",event_tree[[#This Row],[cor_ASET]]/event_tree[[#This Row],[remote_RSET]])</f>
        <v>extinguish</v>
      </c>
      <c r="AD95" t="b">
        <f>IF(OR(event_tree[[#This Row],[SOU_inside_ratio]]&lt;1,event_tree[[#This Row],[SOU_outside_ratio]]&lt;1),2)</f>
        <v>0</v>
      </c>
      <c r="AE95" t="b">
        <f>IF(event_tree[[#This Row],[remote_ratio]]&lt;1,2*(Inputs!$F$5-1))</f>
        <v>0</v>
      </c>
      <c r="AF95">
        <f>event_tree[[#This Row],[SOU_casualty]]+event_tree[[#This Row],[remote_casualty]]</f>
        <v>0</v>
      </c>
      <c r="AG95">
        <f>event_tree[[#This Row],[fire_frequency]]*event_tree[[#This Row],[probability_of_scenario]]</f>
        <v>4.4940074399999995E-6</v>
      </c>
      <c r="AH95">
        <f>event_tree[[#This Row],[total_casualty]]*event_tree[[#This Row],[fire_probability]]</f>
        <v>0</v>
      </c>
    </row>
    <row r="96" spans="1:34" x14ac:dyDescent="0.25">
      <c r="A96">
        <v>95</v>
      </c>
      <c r="B96" t="str" cm="1">
        <f t="array" ref="B9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96" t="str" cm="1">
        <f t="array" ref="C9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96" t="str" cm="1">
        <f t="array" ref="D9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96" t="str" cm="1">
        <f t="array" ref="E96">INDEX(sprinkler[sprinkler],
  1+MOD(QUOTIENT(ROW()-ROW($B$2),
     ROWS(manual_suppression[manual_suppression])*
     ROWS(door_open[door_open])*
     ROWS(smoke_seal[smoke_seal])
  ),
  ROWS(sprinkler[sprinkler]))
)</f>
        <v>Extinguish</v>
      </c>
      <c r="F96" t="str" cm="1">
        <f t="array" ref="F96">INDEX(manual_suppression[manual_suppression],
  1+MOD(QUOTIENT(ROW()-ROW($B$2),
     ROWS(door_open[door_open])*
     ROWS(smoke_seal[smoke_seal])
  ),
  ROWS(manual_suppression[manual_suppression]))
)</f>
        <v>Suppress</v>
      </c>
      <c r="G96" t="str" cm="1">
        <f t="array" ref="G96">INDEX(door_open[door_open],
  1+MOD(QUOTIENT(ROW()-ROW($B$2),
     ROWS(smoke_seal[smoke_seal])
  ),
  ROWS(door_open[door_open]))
)</f>
        <v>Closed</v>
      </c>
      <c r="H96" t="str" cm="1">
        <f t="array" ref="H96">INDEX(smoke_seal[smoke_seal],
  1+MOD(ROW()-ROW($B$2), ROWS(smoke_seal[smoke_seal]))
)</f>
        <v>Fail</v>
      </c>
      <c r="I96" t="str">
        <f>IF(event_tree[[#This Row],[door_open]]="Open","Open",IF(event_tree[[#This Row],[smoke_seal]]="Success","Close","Part"))</f>
        <v>Part</v>
      </c>
      <c r="J96">
        <f>IF(B96="apartment",Inputs!$I$7,Inputs!$I$6)</f>
        <v>7.7999999999999996E-3</v>
      </c>
      <c r="K96">
        <f>PRODUCT(
  INDEX(fire_location[Probability],MATCH($B96,fire_location[fire_location],0)),
  INDEX(smoke_detection_apt[Probability],MATCH($C96,smoke_detection_apt[smoke_detection_apt],0)),
  INDEX(smoke_detection_corridor[Probability],MATCH($D96,smoke_detection_corridor[smoke_detection_corridor],0)),
  INDEX(sprinkler[Probability],MATCH($E96,sprinkler[sprinkler],0)),
  INDEX(manual_suppression[Probability],MATCH($F96,manual_suppression[manual_suppression],0)),
  INDEX(door_open[Probability],MATCH($G96,door_open[door_open],0)),
  INDEX(smoke_seal[Probability],MATCH($H96,smoke_seal[smoke_seal],0))
)</f>
        <v>7.2388679999999992E-4</v>
      </c>
      <c r="L9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96" t="str">
        <f>event_tree[[#This Row],[ASET_scenario]]&amp;Inputs!$F$8</f>
        <v>X6</v>
      </c>
      <c r="N9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9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96" t="str">
        <f>event_tree[[#This Row],[fire_location]]&amp;Inputs!$F$8</f>
        <v>Apartment6</v>
      </c>
      <c r="Q9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96">
        <f>IF(event_tree[[#This Row],[fire_location]]="Apartment",Inputs!$F$11,Inputs!$F$12)</f>
        <v>60</v>
      </c>
      <c r="S96">
        <f>10+Inputs!$F$8</f>
        <v>16</v>
      </c>
      <c r="T9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96">
        <f>IF(event_tree[[#This Row],[fire_location]]="Apartment",Inputs!$F$12,Inputs!$F$11)</f>
        <v>600</v>
      </c>
      <c r="V96">
        <f>10+Inputs!$F$8</f>
        <v>16</v>
      </c>
      <c r="W96">
        <f>30</f>
        <v>30</v>
      </c>
      <c r="X96" t="str">
        <f>IF(event_tree[[#This Row],[ASET_scenario]]="X","extinguish",
   event_tree[[#This Row],[SOU_tdet]] + event_tree[[#This Row],[SOU_tpre]] + event_tree[[#This Row],[tnot]])</f>
        <v>extinguish</v>
      </c>
      <c r="Y96" t="str">
        <f>IF(event_tree[[#This Row],[ASET_scenario]]="X","extinguish",
   event_tree[[#This Row],[SOU_inside_RSET]] + event_tree[[#This Row],[SOU_ttrav]])</f>
        <v>extinguish</v>
      </c>
      <c r="Z9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96" t="str">
        <f>IF(event_tree[[#This Row],[ASET_scenario]]="X","extinguish", event_tree[[#This Row],[apt_ASET]]/event_tree[[#This Row],[SOU_inside_RSET]])</f>
        <v>extinguish</v>
      </c>
      <c r="AB96" t="str">
        <f>IF(event_tree[[#This Row],[ASET_scenario]]="X","extinguish",event_tree[[#This Row],[cor_ASET]]/event_tree[[#This Row],[SOU_outside_RSET]])</f>
        <v>extinguish</v>
      </c>
      <c r="AC96" t="str">
        <f>IF(event_tree[[#This Row],[ASET_scenario]]="X","extinguish",event_tree[[#This Row],[cor_ASET]]/event_tree[[#This Row],[remote_RSET]])</f>
        <v>extinguish</v>
      </c>
      <c r="AD96" t="b">
        <f>IF(OR(event_tree[[#This Row],[SOU_inside_ratio]]&lt;1,event_tree[[#This Row],[SOU_outside_ratio]]&lt;1),2)</f>
        <v>0</v>
      </c>
      <c r="AE96" t="b">
        <f>IF(event_tree[[#This Row],[remote_ratio]]&lt;1,2*(Inputs!$F$5-1))</f>
        <v>0</v>
      </c>
      <c r="AF96">
        <f>event_tree[[#This Row],[SOU_casualty]]+event_tree[[#This Row],[remote_casualty]]</f>
        <v>0</v>
      </c>
      <c r="AG96">
        <f>event_tree[[#This Row],[fire_frequency]]*event_tree[[#This Row],[probability_of_scenario]]</f>
        <v>5.6463170399999988E-6</v>
      </c>
      <c r="AH96">
        <f>event_tree[[#This Row],[total_casualty]]*event_tree[[#This Row],[fire_probability]]</f>
        <v>0</v>
      </c>
    </row>
    <row r="97" spans="1:34" x14ac:dyDescent="0.25">
      <c r="A97">
        <v>96</v>
      </c>
      <c r="B97" t="str" cm="1">
        <f t="array" ref="B9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Apartment</v>
      </c>
      <c r="C97" t="str" cm="1">
        <f t="array" ref="C9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97" t="str" cm="1">
        <f t="array" ref="D9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97" t="str" cm="1">
        <f t="array" ref="E97">INDEX(sprinkler[sprinkler],
  1+MOD(QUOTIENT(ROW()-ROW($B$2),
     ROWS(manual_suppression[manual_suppression])*
     ROWS(door_open[door_open])*
     ROWS(smoke_seal[smoke_seal])
  ),
  ROWS(sprinkler[sprinkler]))
)</f>
        <v>Extinguish</v>
      </c>
      <c r="F97" t="str" cm="1">
        <f t="array" ref="F97">INDEX(manual_suppression[manual_suppression],
  1+MOD(QUOTIENT(ROW()-ROW($B$2),
     ROWS(door_open[door_open])*
     ROWS(smoke_seal[smoke_seal])
  ),
  ROWS(manual_suppression[manual_suppression]))
)</f>
        <v>Suppress</v>
      </c>
      <c r="G97" t="str" cm="1">
        <f t="array" ref="G97">INDEX(door_open[door_open],
  1+MOD(QUOTIENT(ROW()-ROW($B$2),
     ROWS(smoke_seal[smoke_seal])
  ),
  ROWS(door_open[door_open]))
)</f>
        <v>Closed</v>
      </c>
      <c r="H97" t="str" cm="1">
        <f t="array" ref="H97">INDEX(smoke_seal[smoke_seal],
  1+MOD(ROW()-ROW($B$2), ROWS(smoke_seal[smoke_seal]))
)</f>
        <v>Success</v>
      </c>
      <c r="I97" t="str">
        <f>IF(event_tree[[#This Row],[door_open]]="Open","Open",IF(event_tree[[#This Row],[smoke_seal]]="Success","Close","Part"))</f>
        <v>Close</v>
      </c>
      <c r="J97">
        <f>IF(B97="apartment",Inputs!$I$7,Inputs!$I$6)</f>
        <v>7.7999999999999996E-3</v>
      </c>
      <c r="K97">
        <f>PRODUCT(
  INDEX(fire_location[Probability],MATCH($B97,fire_location[fire_location],0)),
  INDEX(smoke_detection_apt[Probability],MATCH($C97,smoke_detection_apt[smoke_detection_apt],0)),
  INDEX(smoke_detection_corridor[Probability],MATCH($D97,smoke_detection_corridor[smoke_detection_corridor],0)),
  INDEX(sprinkler[Probability],MATCH($E97,sprinkler[sprinkler],0)),
  INDEX(manual_suppression[Probability],MATCH($F97,manual_suppression[manual_suppression],0)),
  INDEX(door_open[Probability],MATCH($G97,door_open[door_open],0)),
  INDEX(smoke_seal[Probability],MATCH($H97,smoke_seal[smoke_seal],0))
)</f>
        <v>1.3443611999999999E-3</v>
      </c>
      <c r="L9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97" t="str">
        <f>event_tree[[#This Row],[ASET_scenario]]&amp;Inputs!$F$8</f>
        <v>X6</v>
      </c>
      <c r="N9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9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97" t="str">
        <f>event_tree[[#This Row],[fire_location]]&amp;Inputs!$F$8</f>
        <v>Apartment6</v>
      </c>
      <c r="Q9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97">
        <f>IF(event_tree[[#This Row],[fire_location]]="Apartment",Inputs!$F$11,Inputs!$F$12)</f>
        <v>60</v>
      </c>
      <c r="S97">
        <f>10+Inputs!$F$8</f>
        <v>16</v>
      </c>
      <c r="T9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97">
        <f>IF(event_tree[[#This Row],[fire_location]]="Apartment",Inputs!$F$12,Inputs!$F$11)</f>
        <v>600</v>
      </c>
      <c r="V97">
        <f>10+Inputs!$F$8</f>
        <v>16</v>
      </c>
      <c r="W97">
        <f>30</f>
        <v>30</v>
      </c>
      <c r="X97" t="str">
        <f>IF(event_tree[[#This Row],[ASET_scenario]]="X","extinguish",
   event_tree[[#This Row],[SOU_tdet]] + event_tree[[#This Row],[SOU_tpre]] + event_tree[[#This Row],[tnot]])</f>
        <v>extinguish</v>
      </c>
      <c r="Y97" t="str">
        <f>IF(event_tree[[#This Row],[ASET_scenario]]="X","extinguish",
   event_tree[[#This Row],[SOU_inside_RSET]] + event_tree[[#This Row],[SOU_ttrav]])</f>
        <v>extinguish</v>
      </c>
      <c r="Z9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97" t="str">
        <f>IF(event_tree[[#This Row],[ASET_scenario]]="X","extinguish", event_tree[[#This Row],[apt_ASET]]/event_tree[[#This Row],[SOU_inside_RSET]])</f>
        <v>extinguish</v>
      </c>
      <c r="AB97" t="str">
        <f>IF(event_tree[[#This Row],[ASET_scenario]]="X","extinguish",event_tree[[#This Row],[cor_ASET]]/event_tree[[#This Row],[SOU_outside_RSET]])</f>
        <v>extinguish</v>
      </c>
      <c r="AC97" t="str">
        <f>IF(event_tree[[#This Row],[ASET_scenario]]="X","extinguish",event_tree[[#This Row],[cor_ASET]]/event_tree[[#This Row],[remote_RSET]])</f>
        <v>extinguish</v>
      </c>
      <c r="AD97" t="b">
        <f>IF(OR(event_tree[[#This Row],[SOU_inside_ratio]]&lt;1,event_tree[[#This Row],[SOU_outside_ratio]]&lt;1),2)</f>
        <v>0</v>
      </c>
      <c r="AE97" t="b">
        <f>IF(event_tree[[#This Row],[remote_ratio]]&lt;1,2*(Inputs!$F$5-1))</f>
        <v>0</v>
      </c>
      <c r="AF97">
        <f>event_tree[[#This Row],[SOU_casualty]]+event_tree[[#This Row],[remote_casualty]]</f>
        <v>0</v>
      </c>
      <c r="AG97">
        <f>event_tree[[#This Row],[fire_frequency]]*event_tree[[#This Row],[probability_of_scenario]]</f>
        <v>1.048601736E-5</v>
      </c>
      <c r="AH97">
        <f>event_tree[[#This Row],[total_casualty]]*event_tree[[#This Row],[fire_probability]]</f>
        <v>0</v>
      </c>
    </row>
    <row r="98" spans="1:34" x14ac:dyDescent="0.25">
      <c r="A98">
        <v>97</v>
      </c>
      <c r="B98" t="str" cm="1">
        <f t="array" ref="B9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98" t="str" cm="1">
        <f t="array" ref="C9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98" t="str" cm="1">
        <f t="array" ref="D9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98" t="str" cm="1">
        <f t="array" ref="E98">INDEX(sprinkler[sprinkler],
  1+MOD(QUOTIENT(ROW()-ROW($B$2),
     ROWS(manual_suppression[manual_suppression])*
     ROWS(door_open[door_open])*
     ROWS(smoke_seal[smoke_seal])
  ),
  ROWS(sprinkler[sprinkler]))
)</f>
        <v>Fail</v>
      </c>
      <c r="F98" t="str" cm="1">
        <f t="array" ref="F98">INDEX(manual_suppression[manual_suppression],
  1+MOD(QUOTIENT(ROW()-ROW($B$2),
     ROWS(door_open[door_open])*
     ROWS(smoke_seal[smoke_seal])
  ),
  ROWS(manual_suppression[manual_suppression]))
)</f>
        <v>Fail</v>
      </c>
      <c r="G98" t="str" cm="1">
        <f t="array" ref="G98">INDEX(door_open[door_open],
  1+MOD(QUOTIENT(ROW()-ROW($B$2),
     ROWS(smoke_seal[smoke_seal])
  ),
  ROWS(door_open[door_open]))
)</f>
        <v>Open</v>
      </c>
      <c r="H98" t="str" cm="1">
        <f t="array" ref="H98">INDEX(smoke_seal[smoke_seal],
  1+MOD(ROW()-ROW($B$2), ROWS(smoke_seal[smoke_seal]))
)</f>
        <v>Fail</v>
      </c>
      <c r="I98" t="str">
        <f>IF(event_tree[[#This Row],[door_open]]="Open","Open",IF(event_tree[[#This Row],[smoke_seal]]="Success","Close","Part"))</f>
        <v>Open</v>
      </c>
      <c r="J98">
        <f>IF(B98="apartment",Inputs!$I$7,Inputs!$I$6)</f>
        <v>1.2999999999999999E-3</v>
      </c>
      <c r="K98">
        <f>PRODUCT(
  INDEX(fire_location[Probability],MATCH($B98,fire_location[fire_location],0)),
  INDEX(smoke_detection_apt[Probability],MATCH($C98,smoke_detection_apt[smoke_detection_apt],0)),
  INDEX(smoke_detection_corridor[Probability],MATCH($D98,smoke_detection_corridor[smoke_detection_corridor],0)),
  INDEX(sprinkler[Probability],MATCH($E98,sprinkler[sprinkler],0)),
  INDEX(manual_suppression[Probability],MATCH($F98,manual_suppression[manual_suppression],0)),
  INDEX(door_open[Probability],MATCH($G98,door_open[door_open],0)),
  INDEX(smoke_seal[Probability],MATCH($H98,smoke_seal[smoke_seal],0))
)</f>
        <v>1.5776775000000013E-4</v>
      </c>
      <c r="L9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G</v>
      </c>
      <c r="M98" t="str">
        <f>event_tree[[#This Row],[ASET_scenario]]&amp;Inputs!$F$8</f>
        <v>G6</v>
      </c>
      <c r="N98">
        <f>IF(OR(event_tree[[#This Row],[sprinkler]]="Extinguish",event_tree[[#This Row],[manual_suppression]]="Suppress"),"extinguish",_xlfn.XLOOKUP(event_tree[[#This Row],[ASET_helper1]],ASET_data[ASET_helper1],ASET_data[apt_ASET]))</f>
        <v>61</v>
      </c>
      <c r="O98">
        <f>IF(OR(event_tree[[#This Row],[sprinkler]]="Extinguish",event_tree[[#This Row],[manual_suppression]]="Suppress"),"extinguish",_xlfn.XLOOKUP(event_tree[[#This Row],[ASET_helper1]],ASET_data[ASET_helper1],ASET_data[cor_ASET]))</f>
        <v>39</v>
      </c>
      <c r="P98" t="str">
        <f>event_tree[[#This Row],[fire_location]]&amp;Inputs!$F$8</f>
        <v>Corridor6</v>
      </c>
      <c r="Q9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83</v>
      </c>
      <c r="R98">
        <f>IF(event_tree[[#This Row],[fire_location]]="Apartment",Inputs!$F$11,Inputs!$F$12)</f>
        <v>600</v>
      </c>
      <c r="S98">
        <f>10+Inputs!$F$8</f>
        <v>16</v>
      </c>
      <c r="T9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44</v>
      </c>
      <c r="U98">
        <f>IF(event_tree[[#This Row],[fire_location]]="Apartment",Inputs!$F$12,Inputs!$F$11)</f>
        <v>60</v>
      </c>
      <c r="V98">
        <f>10+Inputs!$F$8</f>
        <v>16</v>
      </c>
      <c r="W98">
        <f>30</f>
        <v>30</v>
      </c>
      <c r="X98">
        <f>IF(event_tree[[#This Row],[ASET_scenario]]="X","extinguish",
   event_tree[[#This Row],[SOU_tdet]] + event_tree[[#This Row],[SOU_tpre]] + event_tree[[#This Row],[tnot]])</f>
        <v>713</v>
      </c>
      <c r="Y98">
        <f>IF(event_tree[[#This Row],[ASET_scenario]]="X","extinguish",
   event_tree[[#This Row],[SOU_inside_RSET]] + event_tree[[#This Row],[SOU_ttrav]])</f>
        <v>729</v>
      </c>
      <c r="Z98">
        <f>IF(event_tree[[#This Row],[ASET_scenario]]="X","extinguish",
   event_tree[[#This Row],[remote_tdet]] + event_tree[[#This Row],[remote_tpre]] + event_tree[[#This Row],[remote_ttrav]] + event_tree[[#This Row],[tnot]])</f>
        <v>150</v>
      </c>
      <c r="AA98">
        <f>IF(event_tree[[#This Row],[ASET_scenario]]="X","extinguish", event_tree[[#This Row],[apt_ASET]]/event_tree[[#This Row],[SOU_inside_RSET]])</f>
        <v>8.5553997194950909E-2</v>
      </c>
      <c r="AB98">
        <f>IF(event_tree[[#This Row],[ASET_scenario]]="X","extinguish",event_tree[[#This Row],[cor_ASET]]/event_tree[[#This Row],[SOU_outside_RSET]])</f>
        <v>5.3497942386831275E-2</v>
      </c>
      <c r="AC98">
        <f>IF(event_tree[[#This Row],[ASET_scenario]]="X","extinguish",event_tree[[#This Row],[cor_ASET]]/event_tree[[#This Row],[remote_RSET]])</f>
        <v>0.26</v>
      </c>
      <c r="AD98">
        <f>IF(OR(event_tree[[#This Row],[SOU_inside_ratio]]&lt;1,event_tree[[#This Row],[SOU_outside_ratio]]&lt;1),2)</f>
        <v>2</v>
      </c>
      <c r="AE98">
        <f>IF(event_tree[[#This Row],[remote_ratio]]&lt;1,2*(Inputs!$F$5-1))</f>
        <v>10</v>
      </c>
      <c r="AF98">
        <f>event_tree[[#This Row],[SOU_casualty]]+event_tree[[#This Row],[remote_casualty]]</f>
        <v>12</v>
      </c>
      <c r="AG98">
        <f>event_tree[[#This Row],[fire_frequency]]*event_tree[[#This Row],[probability_of_scenario]]</f>
        <v>2.0509807500000017E-7</v>
      </c>
      <c r="AH98">
        <f>event_tree[[#This Row],[total_casualty]]*event_tree[[#This Row],[fire_probability]]</f>
        <v>2.461176900000002E-6</v>
      </c>
    </row>
    <row r="99" spans="1:34" x14ac:dyDescent="0.25">
      <c r="A99">
        <v>98</v>
      </c>
      <c r="B99" t="str" cm="1">
        <f t="array" ref="B9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99" t="str" cm="1">
        <f t="array" ref="C9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99" t="str" cm="1">
        <f t="array" ref="D9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99" t="str" cm="1">
        <f t="array" ref="E99">INDEX(sprinkler[sprinkler],
  1+MOD(QUOTIENT(ROW()-ROW($B$2),
     ROWS(manual_suppression[manual_suppression])*
     ROWS(door_open[door_open])*
     ROWS(smoke_seal[smoke_seal])
  ),
  ROWS(sprinkler[sprinkler]))
)</f>
        <v>Fail</v>
      </c>
      <c r="F99" t="str" cm="1">
        <f t="array" ref="F99">INDEX(manual_suppression[manual_suppression],
  1+MOD(QUOTIENT(ROW()-ROW($B$2),
     ROWS(door_open[door_open])*
     ROWS(smoke_seal[smoke_seal])
  ),
  ROWS(manual_suppression[manual_suppression]))
)</f>
        <v>Fail</v>
      </c>
      <c r="G99" t="str" cm="1">
        <f t="array" ref="G99">INDEX(door_open[door_open],
  1+MOD(QUOTIENT(ROW()-ROW($B$2),
     ROWS(smoke_seal[smoke_seal])
  ),
  ROWS(door_open[door_open]))
)</f>
        <v>Open</v>
      </c>
      <c r="H99" t="str" cm="1">
        <f t="array" ref="H99">INDEX(smoke_seal[smoke_seal],
  1+MOD(ROW()-ROW($B$2), ROWS(smoke_seal[smoke_seal]))
)</f>
        <v>Success</v>
      </c>
      <c r="I99" t="str">
        <f>IF(event_tree[[#This Row],[door_open]]="Open","Open",IF(event_tree[[#This Row],[smoke_seal]]="Success","Close","Part"))</f>
        <v>Open</v>
      </c>
      <c r="J99">
        <f>IF(B99="apartment",Inputs!$I$7,Inputs!$I$6)</f>
        <v>1.2999999999999999E-3</v>
      </c>
      <c r="K99">
        <f>PRODUCT(
  INDEX(fire_location[Probability],MATCH($B99,fire_location[fire_location],0)),
  INDEX(smoke_detection_apt[Probability],MATCH($C99,smoke_detection_apt[smoke_detection_apt],0)),
  INDEX(smoke_detection_corridor[Probability],MATCH($D99,smoke_detection_corridor[smoke_detection_corridor],0)),
  INDEX(sprinkler[Probability],MATCH($E99,sprinkler[sprinkler],0)),
  INDEX(manual_suppression[Probability],MATCH($F99,manual_suppression[manual_suppression],0)),
  INDEX(door_open[Probability],MATCH($G99,door_open[door_open],0)),
  INDEX(smoke_seal[Probability],MATCH($H99,smoke_seal[smoke_seal],0))
)</f>
        <v>2.9299725000000028E-4</v>
      </c>
      <c r="L9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G</v>
      </c>
      <c r="M99" t="str">
        <f>event_tree[[#This Row],[ASET_scenario]]&amp;Inputs!$F$8</f>
        <v>G6</v>
      </c>
      <c r="N99">
        <f>IF(OR(event_tree[[#This Row],[sprinkler]]="Extinguish",event_tree[[#This Row],[manual_suppression]]="Suppress"),"extinguish",_xlfn.XLOOKUP(event_tree[[#This Row],[ASET_helper1]],ASET_data[ASET_helper1],ASET_data[apt_ASET]))</f>
        <v>61</v>
      </c>
      <c r="O99">
        <f>IF(OR(event_tree[[#This Row],[sprinkler]]="Extinguish",event_tree[[#This Row],[manual_suppression]]="Suppress"),"extinguish",_xlfn.XLOOKUP(event_tree[[#This Row],[ASET_helper1]],ASET_data[ASET_helper1],ASET_data[cor_ASET]))</f>
        <v>39</v>
      </c>
      <c r="P99" t="str">
        <f>event_tree[[#This Row],[fire_location]]&amp;Inputs!$F$8</f>
        <v>Corridor6</v>
      </c>
      <c r="Q9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83</v>
      </c>
      <c r="R99">
        <f>IF(event_tree[[#This Row],[fire_location]]="Apartment",Inputs!$F$11,Inputs!$F$12)</f>
        <v>600</v>
      </c>
      <c r="S99">
        <f>10+Inputs!$F$8</f>
        <v>16</v>
      </c>
      <c r="T9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44</v>
      </c>
      <c r="U99">
        <f>IF(event_tree[[#This Row],[fire_location]]="Apartment",Inputs!$F$12,Inputs!$F$11)</f>
        <v>60</v>
      </c>
      <c r="V99">
        <f>10+Inputs!$F$8</f>
        <v>16</v>
      </c>
      <c r="W99">
        <f>30</f>
        <v>30</v>
      </c>
      <c r="X99">
        <f>IF(event_tree[[#This Row],[ASET_scenario]]="X","extinguish",
   event_tree[[#This Row],[SOU_tdet]] + event_tree[[#This Row],[SOU_tpre]] + event_tree[[#This Row],[tnot]])</f>
        <v>713</v>
      </c>
      <c r="Y99">
        <f>IF(event_tree[[#This Row],[ASET_scenario]]="X","extinguish",
   event_tree[[#This Row],[SOU_inside_RSET]] + event_tree[[#This Row],[SOU_ttrav]])</f>
        <v>729</v>
      </c>
      <c r="Z99">
        <f>IF(event_tree[[#This Row],[ASET_scenario]]="X","extinguish",
   event_tree[[#This Row],[remote_tdet]] + event_tree[[#This Row],[remote_tpre]] + event_tree[[#This Row],[remote_ttrav]] + event_tree[[#This Row],[tnot]])</f>
        <v>150</v>
      </c>
      <c r="AA99">
        <f>IF(event_tree[[#This Row],[ASET_scenario]]="X","extinguish", event_tree[[#This Row],[apt_ASET]]/event_tree[[#This Row],[SOU_inside_RSET]])</f>
        <v>8.5553997194950909E-2</v>
      </c>
      <c r="AB99">
        <f>IF(event_tree[[#This Row],[ASET_scenario]]="X","extinguish",event_tree[[#This Row],[cor_ASET]]/event_tree[[#This Row],[SOU_outside_RSET]])</f>
        <v>5.3497942386831275E-2</v>
      </c>
      <c r="AC99">
        <f>IF(event_tree[[#This Row],[ASET_scenario]]="X","extinguish",event_tree[[#This Row],[cor_ASET]]/event_tree[[#This Row],[remote_RSET]])</f>
        <v>0.26</v>
      </c>
      <c r="AD99">
        <f>IF(OR(event_tree[[#This Row],[SOU_inside_ratio]]&lt;1,event_tree[[#This Row],[SOU_outside_ratio]]&lt;1),2)</f>
        <v>2</v>
      </c>
      <c r="AE99">
        <f>IF(event_tree[[#This Row],[remote_ratio]]&lt;1,2*(Inputs!$F$5-1))</f>
        <v>10</v>
      </c>
      <c r="AF99">
        <f>event_tree[[#This Row],[SOU_casualty]]+event_tree[[#This Row],[remote_casualty]]</f>
        <v>12</v>
      </c>
      <c r="AG99">
        <f>event_tree[[#This Row],[fire_frequency]]*event_tree[[#This Row],[probability_of_scenario]]</f>
        <v>3.8089642500000035E-7</v>
      </c>
      <c r="AH99">
        <f>event_tree[[#This Row],[total_casualty]]*event_tree[[#This Row],[fire_probability]]</f>
        <v>4.5707571000000044E-6</v>
      </c>
    </row>
    <row r="100" spans="1:34" x14ac:dyDescent="0.25">
      <c r="A100">
        <v>99</v>
      </c>
      <c r="B100" t="str" cm="1">
        <f t="array" ref="B10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0" t="str" cm="1">
        <f t="array" ref="C10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0" t="str" cm="1">
        <f t="array" ref="D10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0" t="str" cm="1">
        <f t="array" ref="E100">INDEX(sprinkler[sprinkler],
  1+MOD(QUOTIENT(ROW()-ROW($B$2),
     ROWS(manual_suppression[manual_suppression])*
     ROWS(door_open[door_open])*
     ROWS(smoke_seal[smoke_seal])
  ),
  ROWS(sprinkler[sprinkler]))
)</f>
        <v>Fail</v>
      </c>
      <c r="F100" t="str" cm="1">
        <f t="array" ref="F100">INDEX(manual_suppression[manual_suppression],
  1+MOD(QUOTIENT(ROW()-ROW($B$2),
     ROWS(door_open[door_open])*
     ROWS(smoke_seal[smoke_seal])
  ),
  ROWS(manual_suppression[manual_suppression]))
)</f>
        <v>Fail</v>
      </c>
      <c r="G100" t="str" cm="1">
        <f t="array" ref="G100">INDEX(door_open[door_open],
  1+MOD(QUOTIENT(ROW()-ROW($B$2),
     ROWS(smoke_seal[smoke_seal])
  ),
  ROWS(door_open[door_open]))
)</f>
        <v>Closed</v>
      </c>
      <c r="H100" t="str" cm="1">
        <f t="array" ref="H100">INDEX(smoke_seal[smoke_seal],
  1+MOD(ROW()-ROW($B$2), ROWS(smoke_seal[smoke_seal]))
)</f>
        <v>Fail</v>
      </c>
      <c r="I100" t="str">
        <f>IF(event_tree[[#This Row],[door_open]]="Open","Open",IF(event_tree[[#This Row],[smoke_seal]]="Success","Close","Part"))</f>
        <v>Part</v>
      </c>
      <c r="J100">
        <f>IF(B100="apartment",Inputs!$I$7,Inputs!$I$6)</f>
        <v>1.2999999999999999E-3</v>
      </c>
      <c r="K100">
        <f>PRODUCT(
  INDEX(fire_location[Probability],MATCH($B100,fire_location[fire_location],0)),
  INDEX(smoke_detection_apt[Probability],MATCH($C100,smoke_detection_apt[smoke_detection_apt],0)),
  INDEX(smoke_detection_corridor[Probability],MATCH($D100,smoke_detection_corridor[smoke_detection_corridor],0)),
  INDEX(sprinkler[Probability],MATCH($E100,sprinkler[sprinkler],0)),
  INDEX(manual_suppression[Probability],MATCH($F100,manual_suppression[manual_suppression],0)),
  INDEX(door_open[Probability],MATCH($G100,door_open[door_open],0)),
  INDEX(smoke_seal[Probability],MATCH($H100,smoke_seal[smoke_seal],0))
)</f>
        <v>3.6812475000000026E-4</v>
      </c>
      <c r="L10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I</v>
      </c>
      <c r="M100" t="str">
        <f>event_tree[[#This Row],[ASET_scenario]]&amp;Inputs!$F$8</f>
        <v>I6</v>
      </c>
      <c r="N100">
        <f>IF(OR(event_tree[[#This Row],[sprinkler]]="Extinguish",event_tree[[#This Row],[manual_suppression]]="Suppress"),"extinguish",_xlfn.XLOOKUP(event_tree[[#This Row],[ASET_helper1]],ASET_data[ASET_helper1],ASET_data[apt_ASET]))</f>
        <v>96</v>
      </c>
      <c r="O100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00" t="str">
        <f>event_tree[[#This Row],[fire_location]]&amp;Inputs!$F$8</f>
        <v>Corridor6</v>
      </c>
      <c r="Q10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67</v>
      </c>
      <c r="R100">
        <f>IF(event_tree[[#This Row],[fire_location]]="Apartment",Inputs!$F$11,Inputs!$F$12)</f>
        <v>600</v>
      </c>
      <c r="S100">
        <f>10+Inputs!$F$8</f>
        <v>16</v>
      </c>
      <c r="T10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00">
        <f>IF(event_tree[[#This Row],[fire_location]]="Apartment",Inputs!$F$12,Inputs!$F$11)</f>
        <v>60</v>
      </c>
      <c r="V100">
        <f>10+Inputs!$F$8</f>
        <v>16</v>
      </c>
      <c r="W100">
        <f>30</f>
        <v>30</v>
      </c>
      <c r="X100">
        <f>IF(event_tree[[#This Row],[ASET_scenario]]="X","extinguish",
   event_tree[[#This Row],[SOU_tdet]] + event_tree[[#This Row],[SOU_tpre]] + event_tree[[#This Row],[tnot]])</f>
        <v>697</v>
      </c>
      <c r="Y100">
        <f>IF(event_tree[[#This Row],[ASET_scenario]]="X","extinguish",
   event_tree[[#This Row],[SOU_inside_RSET]] + event_tree[[#This Row],[SOU_ttrav]])</f>
        <v>713</v>
      </c>
      <c r="Z100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00">
        <f>IF(event_tree[[#This Row],[ASET_scenario]]="X","extinguish", event_tree[[#This Row],[apt_ASET]]/event_tree[[#This Row],[SOU_inside_RSET]])</f>
        <v>0.13773314203730272</v>
      </c>
      <c r="AB100">
        <f>IF(event_tree[[#This Row],[ASET_scenario]]="X","extinguish",event_tree[[#This Row],[cor_ASET]]/event_tree[[#This Row],[SOU_outside_RSET]])</f>
        <v>3.0855539971949508E-2</v>
      </c>
      <c r="AC100">
        <f>IF(event_tree[[#This Row],[ASET_scenario]]="X","extinguish",event_tree[[#This Row],[cor_ASET]]/event_tree[[#This Row],[remote_RSET]])</f>
        <v>0.15172413793103448</v>
      </c>
      <c r="AD100">
        <f>IF(OR(event_tree[[#This Row],[SOU_inside_ratio]]&lt;1,event_tree[[#This Row],[SOU_outside_ratio]]&lt;1),2)</f>
        <v>2</v>
      </c>
      <c r="AE100">
        <f>IF(event_tree[[#This Row],[remote_ratio]]&lt;1,2*(Inputs!$F$5-1))</f>
        <v>10</v>
      </c>
      <c r="AF100">
        <f>event_tree[[#This Row],[SOU_casualty]]+event_tree[[#This Row],[remote_casualty]]</f>
        <v>12</v>
      </c>
      <c r="AG100">
        <f>event_tree[[#This Row],[fire_frequency]]*event_tree[[#This Row],[probability_of_scenario]]</f>
        <v>4.7856217500000028E-7</v>
      </c>
      <c r="AH100">
        <f>event_tree[[#This Row],[total_casualty]]*event_tree[[#This Row],[fire_probability]]</f>
        <v>5.7427461000000034E-6</v>
      </c>
    </row>
    <row r="101" spans="1:34" x14ac:dyDescent="0.25">
      <c r="A101">
        <v>100</v>
      </c>
      <c r="B101" t="str" cm="1">
        <f t="array" ref="B10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1" t="str" cm="1">
        <f t="array" ref="C10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1" t="str" cm="1">
        <f t="array" ref="D10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1" t="str" cm="1">
        <f t="array" ref="E101">INDEX(sprinkler[sprinkler],
  1+MOD(QUOTIENT(ROW()-ROW($B$2),
     ROWS(manual_suppression[manual_suppression])*
     ROWS(door_open[door_open])*
     ROWS(smoke_seal[smoke_seal])
  ),
  ROWS(sprinkler[sprinkler]))
)</f>
        <v>Fail</v>
      </c>
      <c r="F101" t="str" cm="1">
        <f t="array" ref="F101">INDEX(manual_suppression[manual_suppression],
  1+MOD(QUOTIENT(ROW()-ROW($B$2),
     ROWS(door_open[door_open])*
     ROWS(smoke_seal[smoke_seal])
  ),
  ROWS(manual_suppression[manual_suppression]))
)</f>
        <v>Fail</v>
      </c>
      <c r="G101" t="str" cm="1">
        <f t="array" ref="G101">INDEX(door_open[door_open],
  1+MOD(QUOTIENT(ROW()-ROW($B$2),
     ROWS(smoke_seal[smoke_seal])
  ),
  ROWS(door_open[door_open]))
)</f>
        <v>Closed</v>
      </c>
      <c r="H101" t="str" cm="1">
        <f t="array" ref="H101">INDEX(smoke_seal[smoke_seal],
  1+MOD(ROW()-ROW($B$2), ROWS(smoke_seal[smoke_seal]))
)</f>
        <v>Success</v>
      </c>
      <c r="I101" t="str">
        <f>IF(event_tree[[#This Row],[door_open]]="Open","Open",IF(event_tree[[#This Row],[smoke_seal]]="Success","Close","Part"))</f>
        <v>Close</v>
      </c>
      <c r="J101">
        <f>IF(B101="apartment",Inputs!$I$7,Inputs!$I$6)</f>
        <v>1.2999999999999999E-3</v>
      </c>
      <c r="K101">
        <f>PRODUCT(
  INDEX(fire_location[Probability],MATCH($B101,fire_location[fire_location],0)),
  INDEX(smoke_detection_apt[Probability],MATCH($C101,smoke_detection_apt[smoke_detection_apt],0)),
  INDEX(smoke_detection_corridor[Probability],MATCH($D101,smoke_detection_corridor[smoke_detection_corridor],0)),
  INDEX(sprinkler[Probability],MATCH($E101,sprinkler[sprinkler],0)),
  INDEX(manual_suppression[Probability],MATCH($F101,manual_suppression[manual_suppression],0)),
  INDEX(door_open[Probability],MATCH($G101,door_open[door_open],0)),
  INDEX(smoke_seal[Probability],MATCH($H101,smoke_seal[smoke_seal],0))
)</f>
        <v>6.8366025000000052E-4</v>
      </c>
      <c r="L10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H</v>
      </c>
      <c r="M101" t="str">
        <f>event_tree[[#This Row],[ASET_scenario]]&amp;Inputs!$F$8</f>
        <v>H6</v>
      </c>
      <c r="N101">
        <f>IF(OR(event_tree[[#This Row],[sprinkler]]="Extinguish",event_tree[[#This Row],[manual_suppression]]="Suppress"),"extinguish",_xlfn.XLOOKUP(event_tree[[#This Row],[ASET_helper1]],ASET_data[ASET_helper1],ASET_data[apt_ASET]))</f>
        <v>3600</v>
      </c>
      <c r="O101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01" t="str">
        <f>event_tree[[#This Row],[fire_location]]&amp;Inputs!$F$8</f>
        <v>Corridor6</v>
      </c>
      <c r="Q10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339</v>
      </c>
      <c r="R101">
        <f>IF(event_tree[[#This Row],[fire_location]]="Apartment",Inputs!$F$11,Inputs!$F$12)</f>
        <v>600</v>
      </c>
      <c r="S101">
        <f>10+Inputs!$F$8</f>
        <v>16</v>
      </c>
      <c r="T10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01">
        <f>IF(event_tree[[#This Row],[fire_location]]="Apartment",Inputs!$F$12,Inputs!$F$11)</f>
        <v>60</v>
      </c>
      <c r="V101">
        <f>10+Inputs!$F$8</f>
        <v>16</v>
      </c>
      <c r="W101">
        <f>30</f>
        <v>30</v>
      </c>
      <c r="X101">
        <f>IF(event_tree[[#This Row],[ASET_scenario]]="X","extinguish",
   event_tree[[#This Row],[SOU_tdet]] + event_tree[[#This Row],[SOU_tpre]] + event_tree[[#This Row],[tnot]])</f>
        <v>969</v>
      </c>
      <c r="Y101">
        <f>IF(event_tree[[#This Row],[ASET_scenario]]="X","extinguish",
   event_tree[[#This Row],[SOU_inside_RSET]] + event_tree[[#This Row],[SOU_ttrav]])</f>
        <v>985</v>
      </c>
      <c r="Z101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01">
        <f>IF(event_tree[[#This Row],[ASET_scenario]]="X","extinguish", event_tree[[#This Row],[apt_ASET]]/event_tree[[#This Row],[SOU_inside_RSET]])</f>
        <v>3.7151702786377707</v>
      </c>
      <c r="AB101">
        <f>IF(event_tree[[#This Row],[ASET_scenario]]="X","extinguish",event_tree[[#This Row],[cor_ASET]]/event_tree[[#This Row],[SOU_outside_RSET]])</f>
        <v>2.2335025380710659E-2</v>
      </c>
      <c r="AC101">
        <f>IF(event_tree[[#This Row],[ASET_scenario]]="X","extinguish",event_tree[[#This Row],[cor_ASET]]/event_tree[[#This Row],[remote_RSET]])</f>
        <v>0.15172413793103448</v>
      </c>
      <c r="AD101">
        <f>IF(OR(event_tree[[#This Row],[SOU_inside_ratio]]&lt;1,event_tree[[#This Row],[SOU_outside_ratio]]&lt;1),2)</f>
        <v>2</v>
      </c>
      <c r="AE101">
        <f>IF(event_tree[[#This Row],[remote_ratio]]&lt;1,2*(Inputs!$F$5-1))</f>
        <v>10</v>
      </c>
      <c r="AF101">
        <f>event_tree[[#This Row],[SOU_casualty]]+event_tree[[#This Row],[remote_casualty]]</f>
        <v>12</v>
      </c>
      <c r="AG101">
        <f>event_tree[[#This Row],[fire_frequency]]*event_tree[[#This Row],[probability_of_scenario]]</f>
        <v>8.8875832500000062E-7</v>
      </c>
      <c r="AH101">
        <f>event_tree[[#This Row],[total_casualty]]*event_tree[[#This Row],[fire_probability]]</f>
        <v>1.0665099900000007E-5</v>
      </c>
    </row>
    <row r="102" spans="1:34" x14ac:dyDescent="0.25">
      <c r="A102">
        <v>101</v>
      </c>
      <c r="B102" t="str" cm="1">
        <f t="array" ref="B10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2" t="str" cm="1">
        <f t="array" ref="C10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2" t="str" cm="1">
        <f t="array" ref="D10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2" t="str" cm="1">
        <f t="array" ref="E102">INDEX(sprinkler[sprinkler],
  1+MOD(QUOTIENT(ROW()-ROW($B$2),
     ROWS(manual_suppression[manual_suppression])*
     ROWS(door_open[door_open])*
     ROWS(smoke_seal[smoke_seal])
  ),
  ROWS(sprinkler[sprinkler]))
)</f>
        <v>Fail</v>
      </c>
      <c r="F102" t="str" cm="1">
        <f t="array" ref="F102">INDEX(manual_suppression[manual_suppression],
  1+MOD(QUOTIENT(ROW()-ROW($B$2),
     ROWS(door_open[door_open])*
     ROWS(smoke_seal[smoke_seal])
  ),
  ROWS(manual_suppression[manual_suppression]))
)</f>
        <v>Suppress</v>
      </c>
      <c r="G102" t="str" cm="1">
        <f t="array" ref="G102">INDEX(door_open[door_open],
  1+MOD(QUOTIENT(ROW()-ROW($B$2),
     ROWS(smoke_seal[smoke_seal])
  ),
  ROWS(door_open[door_open]))
)</f>
        <v>Open</v>
      </c>
      <c r="H102" t="str" cm="1">
        <f t="array" ref="H102">INDEX(smoke_seal[smoke_seal],
  1+MOD(ROW()-ROW($B$2), ROWS(smoke_seal[smoke_seal]))
)</f>
        <v>Fail</v>
      </c>
      <c r="I102" t="str">
        <f>IF(event_tree[[#This Row],[door_open]]="Open","Open",IF(event_tree[[#This Row],[smoke_seal]]="Success","Close","Part"))</f>
        <v>Open</v>
      </c>
      <c r="J102">
        <f>IF(B102="apartment",Inputs!$I$7,Inputs!$I$6)</f>
        <v>1.2999999999999999E-3</v>
      </c>
      <c r="K102">
        <f>PRODUCT(
  INDEX(fire_location[Probability],MATCH($B102,fire_location[fire_location],0)),
  INDEX(smoke_detection_apt[Probability],MATCH($C102,smoke_detection_apt[smoke_detection_apt],0)),
  INDEX(smoke_detection_corridor[Probability],MATCH($D102,smoke_detection_corridor[smoke_detection_corridor],0)),
  INDEX(sprinkler[Probability],MATCH($E102,sprinkler[sprinkler],0)),
  INDEX(manual_suppression[Probability],MATCH($F102,manual_suppression[manual_suppression],0)),
  INDEX(door_open[Probability],MATCH($G102,door_open[door_open],0)),
  INDEX(smoke_seal[Probability],MATCH($H102,smoke_seal[smoke_seal],0))
)</f>
        <v>2.9299725000000028E-4</v>
      </c>
      <c r="L10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02" t="str">
        <f>event_tree[[#This Row],[ASET_scenario]]&amp;Inputs!$F$8</f>
        <v>X6</v>
      </c>
      <c r="N10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0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02" t="str">
        <f>event_tree[[#This Row],[fire_location]]&amp;Inputs!$F$8</f>
        <v>Corridor6</v>
      </c>
      <c r="Q10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02">
        <f>IF(event_tree[[#This Row],[fire_location]]="Apartment",Inputs!$F$11,Inputs!$F$12)</f>
        <v>600</v>
      </c>
      <c r="S102">
        <f>10+Inputs!$F$8</f>
        <v>16</v>
      </c>
      <c r="T10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02">
        <f>IF(event_tree[[#This Row],[fire_location]]="Apartment",Inputs!$F$12,Inputs!$F$11)</f>
        <v>60</v>
      </c>
      <c r="V102">
        <f>10+Inputs!$F$8</f>
        <v>16</v>
      </c>
      <c r="W102">
        <f>30</f>
        <v>30</v>
      </c>
      <c r="X102" t="str">
        <f>IF(event_tree[[#This Row],[ASET_scenario]]="X","extinguish",
   event_tree[[#This Row],[SOU_tdet]] + event_tree[[#This Row],[SOU_tpre]] + event_tree[[#This Row],[tnot]])</f>
        <v>extinguish</v>
      </c>
      <c r="Y102" t="str">
        <f>IF(event_tree[[#This Row],[ASET_scenario]]="X","extinguish",
   event_tree[[#This Row],[SOU_inside_RSET]] + event_tree[[#This Row],[SOU_ttrav]])</f>
        <v>extinguish</v>
      </c>
      <c r="Z10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02" t="str">
        <f>IF(event_tree[[#This Row],[ASET_scenario]]="X","extinguish", event_tree[[#This Row],[apt_ASET]]/event_tree[[#This Row],[SOU_inside_RSET]])</f>
        <v>extinguish</v>
      </c>
      <c r="AB102" t="str">
        <f>IF(event_tree[[#This Row],[ASET_scenario]]="X","extinguish",event_tree[[#This Row],[cor_ASET]]/event_tree[[#This Row],[SOU_outside_RSET]])</f>
        <v>extinguish</v>
      </c>
      <c r="AC102" t="str">
        <f>IF(event_tree[[#This Row],[ASET_scenario]]="X","extinguish",event_tree[[#This Row],[cor_ASET]]/event_tree[[#This Row],[remote_RSET]])</f>
        <v>extinguish</v>
      </c>
      <c r="AD102" t="b">
        <f>IF(OR(event_tree[[#This Row],[SOU_inside_ratio]]&lt;1,event_tree[[#This Row],[SOU_outside_ratio]]&lt;1),2)</f>
        <v>0</v>
      </c>
      <c r="AE102" t="b">
        <f>IF(event_tree[[#This Row],[remote_ratio]]&lt;1,2*(Inputs!$F$5-1))</f>
        <v>0</v>
      </c>
      <c r="AF102">
        <f>event_tree[[#This Row],[SOU_casualty]]+event_tree[[#This Row],[remote_casualty]]</f>
        <v>0</v>
      </c>
      <c r="AG102">
        <f>event_tree[[#This Row],[fire_frequency]]*event_tree[[#This Row],[probability_of_scenario]]</f>
        <v>3.8089642500000035E-7</v>
      </c>
      <c r="AH102">
        <f>event_tree[[#This Row],[total_casualty]]*event_tree[[#This Row],[fire_probability]]</f>
        <v>0</v>
      </c>
    </row>
    <row r="103" spans="1:34" x14ac:dyDescent="0.25">
      <c r="A103">
        <v>102</v>
      </c>
      <c r="B103" t="str" cm="1">
        <f t="array" ref="B10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3" t="str" cm="1">
        <f t="array" ref="C10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3" t="str" cm="1">
        <f t="array" ref="D10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3" t="str" cm="1">
        <f t="array" ref="E103">INDEX(sprinkler[sprinkler],
  1+MOD(QUOTIENT(ROW()-ROW($B$2),
     ROWS(manual_suppression[manual_suppression])*
     ROWS(door_open[door_open])*
     ROWS(smoke_seal[smoke_seal])
  ),
  ROWS(sprinkler[sprinkler]))
)</f>
        <v>Fail</v>
      </c>
      <c r="F103" t="str" cm="1">
        <f t="array" ref="F103">INDEX(manual_suppression[manual_suppression],
  1+MOD(QUOTIENT(ROW()-ROW($B$2),
     ROWS(door_open[door_open])*
     ROWS(smoke_seal[smoke_seal])
  ),
  ROWS(manual_suppression[manual_suppression]))
)</f>
        <v>Suppress</v>
      </c>
      <c r="G103" t="str" cm="1">
        <f t="array" ref="G103">INDEX(door_open[door_open],
  1+MOD(QUOTIENT(ROW()-ROW($B$2),
     ROWS(smoke_seal[smoke_seal])
  ),
  ROWS(door_open[door_open]))
)</f>
        <v>Open</v>
      </c>
      <c r="H103" t="str" cm="1">
        <f t="array" ref="H103">INDEX(smoke_seal[smoke_seal],
  1+MOD(ROW()-ROW($B$2), ROWS(smoke_seal[smoke_seal]))
)</f>
        <v>Success</v>
      </c>
      <c r="I103" t="str">
        <f>IF(event_tree[[#This Row],[door_open]]="Open","Open",IF(event_tree[[#This Row],[smoke_seal]]="Success","Close","Part"))</f>
        <v>Open</v>
      </c>
      <c r="J103">
        <f>IF(B103="apartment",Inputs!$I$7,Inputs!$I$6)</f>
        <v>1.2999999999999999E-3</v>
      </c>
      <c r="K103">
        <f>PRODUCT(
  INDEX(fire_location[Probability],MATCH($B103,fire_location[fire_location],0)),
  INDEX(smoke_detection_apt[Probability],MATCH($C103,smoke_detection_apt[smoke_detection_apt],0)),
  INDEX(smoke_detection_corridor[Probability],MATCH($D103,smoke_detection_corridor[smoke_detection_corridor],0)),
  INDEX(sprinkler[Probability],MATCH($E103,sprinkler[sprinkler],0)),
  INDEX(manual_suppression[Probability],MATCH($F103,manual_suppression[manual_suppression],0)),
  INDEX(door_open[Probability],MATCH($G103,door_open[door_open],0)),
  INDEX(smoke_seal[Probability],MATCH($H103,smoke_seal[smoke_seal],0))
)</f>
        <v>5.4413775000000057E-4</v>
      </c>
      <c r="L10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03" t="str">
        <f>event_tree[[#This Row],[ASET_scenario]]&amp;Inputs!$F$8</f>
        <v>X6</v>
      </c>
      <c r="N10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0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03" t="str">
        <f>event_tree[[#This Row],[fire_location]]&amp;Inputs!$F$8</f>
        <v>Corridor6</v>
      </c>
      <c r="Q10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03">
        <f>IF(event_tree[[#This Row],[fire_location]]="Apartment",Inputs!$F$11,Inputs!$F$12)</f>
        <v>600</v>
      </c>
      <c r="S103">
        <f>10+Inputs!$F$8</f>
        <v>16</v>
      </c>
      <c r="T10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03">
        <f>IF(event_tree[[#This Row],[fire_location]]="Apartment",Inputs!$F$12,Inputs!$F$11)</f>
        <v>60</v>
      </c>
      <c r="V103">
        <f>10+Inputs!$F$8</f>
        <v>16</v>
      </c>
      <c r="W103">
        <f>30</f>
        <v>30</v>
      </c>
      <c r="X103" t="str">
        <f>IF(event_tree[[#This Row],[ASET_scenario]]="X","extinguish",
   event_tree[[#This Row],[SOU_tdet]] + event_tree[[#This Row],[SOU_tpre]] + event_tree[[#This Row],[tnot]])</f>
        <v>extinguish</v>
      </c>
      <c r="Y103" t="str">
        <f>IF(event_tree[[#This Row],[ASET_scenario]]="X","extinguish",
   event_tree[[#This Row],[SOU_inside_RSET]] + event_tree[[#This Row],[SOU_ttrav]])</f>
        <v>extinguish</v>
      </c>
      <c r="Z10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03" t="str">
        <f>IF(event_tree[[#This Row],[ASET_scenario]]="X","extinguish", event_tree[[#This Row],[apt_ASET]]/event_tree[[#This Row],[SOU_inside_RSET]])</f>
        <v>extinguish</v>
      </c>
      <c r="AB103" t="str">
        <f>IF(event_tree[[#This Row],[ASET_scenario]]="X","extinguish",event_tree[[#This Row],[cor_ASET]]/event_tree[[#This Row],[SOU_outside_RSET]])</f>
        <v>extinguish</v>
      </c>
      <c r="AC103" t="str">
        <f>IF(event_tree[[#This Row],[ASET_scenario]]="X","extinguish",event_tree[[#This Row],[cor_ASET]]/event_tree[[#This Row],[remote_RSET]])</f>
        <v>extinguish</v>
      </c>
      <c r="AD103" t="b">
        <f>IF(OR(event_tree[[#This Row],[SOU_inside_ratio]]&lt;1,event_tree[[#This Row],[SOU_outside_ratio]]&lt;1),2)</f>
        <v>0</v>
      </c>
      <c r="AE103" t="b">
        <f>IF(event_tree[[#This Row],[remote_ratio]]&lt;1,2*(Inputs!$F$5-1))</f>
        <v>0</v>
      </c>
      <c r="AF103">
        <f>event_tree[[#This Row],[SOU_casualty]]+event_tree[[#This Row],[remote_casualty]]</f>
        <v>0</v>
      </c>
      <c r="AG103">
        <f>event_tree[[#This Row],[fire_frequency]]*event_tree[[#This Row],[probability_of_scenario]]</f>
        <v>7.0737907500000075E-7</v>
      </c>
      <c r="AH103">
        <f>event_tree[[#This Row],[total_casualty]]*event_tree[[#This Row],[fire_probability]]</f>
        <v>0</v>
      </c>
    </row>
    <row r="104" spans="1:34" x14ac:dyDescent="0.25">
      <c r="A104">
        <v>103</v>
      </c>
      <c r="B104" t="str" cm="1">
        <f t="array" ref="B10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4" t="str" cm="1">
        <f t="array" ref="C10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4" t="str" cm="1">
        <f t="array" ref="D10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4" t="str" cm="1">
        <f t="array" ref="E104">INDEX(sprinkler[sprinkler],
  1+MOD(QUOTIENT(ROW()-ROW($B$2),
     ROWS(manual_suppression[manual_suppression])*
     ROWS(door_open[door_open])*
     ROWS(smoke_seal[smoke_seal])
  ),
  ROWS(sprinkler[sprinkler]))
)</f>
        <v>Fail</v>
      </c>
      <c r="F104" t="str" cm="1">
        <f t="array" ref="F104">INDEX(manual_suppression[manual_suppression],
  1+MOD(QUOTIENT(ROW()-ROW($B$2),
     ROWS(door_open[door_open])*
     ROWS(smoke_seal[smoke_seal])
  ),
  ROWS(manual_suppression[manual_suppression]))
)</f>
        <v>Suppress</v>
      </c>
      <c r="G104" t="str" cm="1">
        <f t="array" ref="G104">INDEX(door_open[door_open],
  1+MOD(QUOTIENT(ROW()-ROW($B$2),
     ROWS(smoke_seal[smoke_seal])
  ),
  ROWS(door_open[door_open]))
)</f>
        <v>Closed</v>
      </c>
      <c r="H104" t="str" cm="1">
        <f t="array" ref="H104">INDEX(smoke_seal[smoke_seal],
  1+MOD(ROW()-ROW($B$2), ROWS(smoke_seal[smoke_seal]))
)</f>
        <v>Fail</v>
      </c>
      <c r="I104" t="str">
        <f>IF(event_tree[[#This Row],[door_open]]="Open","Open",IF(event_tree[[#This Row],[smoke_seal]]="Success","Close","Part"))</f>
        <v>Part</v>
      </c>
      <c r="J104">
        <f>IF(B104="apartment",Inputs!$I$7,Inputs!$I$6)</f>
        <v>1.2999999999999999E-3</v>
      </c>
      <c r="K104">
        <f>PRODUCT(
  INDEX(fire_location[Probability],MATCH($B104,fire_location[fire_location],0)),
  INDEX(smoke_detection_apt[Probability],MATCH($C104,smoke_detection_apt[smoke_detection_apt],0)),
  INDEX(smoke_detection_corridor[Probability],MATCH($D104,smoke_detection_corridor[smoke_detection_corridor],0)),
  INDEX(sprinkler[Probability],MATCH($E104,sprinkler[sprinkler],0)),
  INDEX(manual_suppression[Probability],MATCH($F104,manual_suppression[manual_suppression],0)),
  INDEX(door_open[Probability],MATCH($G104,door_open[door_open],0)),
  INDEX(smoke_seal[Probability],MATCH($H104,smoke_seal[smoke_seal],0))
)</f>
        <v>6.8366025000000062E-4</v>
      </c>
      <c r="L10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04" t="str">
        <f>event_tree[[#This Row],[ASET_scenario]]&amp;Inputs!$F$8</f>
        <v>X6</v>
      </c>
      <c r="N10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0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04" t="str">
        <f>event_tree[[#This Row],[fire_location]]&amp;Inputs!$F$8</f>
        <v>Corridor6</v>
      </c>
      <c r="Q10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04">
        <f>IF(event_tree[[#This Row],[fire_location]]="Apartment",Inputs!$F$11,Inputs!$F$12)</f>
        <v>600</v>
      </c>
      <c r="S104">
        <f>10+Inputs!$F$8</f>
        <v>16</v>
      </c>
      <c r="T10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04">
        <f>IF(event_tree[[#This Row],[fire_location]]="Apartment",Inputs!$F$12,Inputs!$F$11)</f>
        <v>60</v>
      </c>
      <c r="V104">
        <f>10+Inputs!$F$8</f>
        <v>16</v>
      </c>
      <c r="W104">
        <f>30</f>
        <v>30</v>
      </c>
      <c r="X104" t="str">
        <f>IF(event_tree[[#This Row],[ASET_scenario]]="X","extinguish",
   event_tree[[#This Row],[SOU_tdet]] + event_tree[[#This Row],[SOU_tpre]] + event_tree[[#This Row],[tnot]])</f>
        <v>extinguish</v>
      </c>
      <c r="Y104" t="str">
        <f>IF(event_tree[[#This Row],[ASET_scenario]]="X","extinguish",
   event_tree[[#This Row],[SOU_inside_RSET]] + event_tree[[#This Row],[SOU_ttrav]])</f>
        <v>extinguish</v>
      </c>
      <c r="Z10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04" t="str">
        <f>IF(event_tree[[#This Row],[ASET_scenario]]="X","extinguish", event_tree[[#This Row],[apt_ASET]]/event_tree[[#This Row],[SOU_inside_RSET]])</f>
        <v>extinguish</v>
      </c>
      <c r="AB104" t="str">
        <f>IF(event_tree[[#This Row],[ASET_scenario]]="X","extinguish",event_tree[[#This Row],[cor_ASET]]/event_tree[[#This Row],[SOU_outside_RSET]])</f>
        <v>extinguish</v>
      </c>
      <c r="AC104" t="str">
        <f>IF(event_tree[[#This Row],[ASET_scenario]]="X","extinguish",event_tree[[#This Row],[cor_ASET]]/event_tree[[#This Row],[remote_RSET]])</f>
        <v>extinguish</v>
      </c>
      <c r="AD104" t="b">
        <f>IF(OR(event_tree[[#This Row],[SOU_inside_ratio]]&lt;1,event_tree[[#This Row],[SOU_outside_ratio]]&lt;1),2)</f>
        <v>0</v>
      </c>
      <c r="AE104" t="b">
        <f>IF(event_tree[[#This Row],[remote_ratio]]&lt;1,2*(Inputs!$F$5-1))</f>
        <v>0</v>
      </c>
      <c r="AF104">
        <f>event_tree[[#This Row],[SOU_casualty]]+event_tree[[#This Row],[remote_casualty]]</f>
        <v>0</v>
      </c>
      <c r="AG104">
        <f>event_tree[[#This Row],[fire_frequency]]*event_tree[[#This Row],[probability_of_scenario]]</f>
        <v>8.8875832500000073E-7</v>
      </c>
      <c r="AH104">
        <f>event_tree[[#This Row],[total_casualty]]*event_tree[[#This Row],[fire_probability]]</f>
        <v>0</v>
      </c>
    </row>
    <row r="105" spans="1:34" x14ac:dyDescent="0.25">
      <c r="A105">
        <v>104</v>
      </c>
      <c r="B105" t="str" cm="1">
        <f t="array" ref="B10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5" t="str" cm="1">
        <f t="array" ref="C10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5" t="str" cm="1">
        <f t="array" ref="D10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5" t="str" cm="1">
        <f t="array" ref="E105">INDEX(sprinkler[sprinkler],
  1+MOD(QUOTIENT(ROW()-ROW($B$2),
     ROWS(manual_suppression[manual_suppression])*
     ROWS(door_open[door_open])*
     ROWS(smoke_seal[smoke_seal])
  ),
  ROWS(sprinkler[sprinkler]))
)</f>
        <v>Fail</v>
      </c>
      <c r="F105" t="str" cm="1">
        <f t="array" ref="F105">INDEX(manual_suppression[manual_suppression],
  1+MOD(QUOTIENT(ROW()-ROW($B$2),
     ROWS(door_open[door_open])*
     ROWS(smoke_seal[smoke_seal])
  ),
  ROWS(manual_suppression[manual_suppression]))
)</f>
        <v>Suppress</v>
      </c>
      <c r="G105" t="str" cm="1">
        <f t="array" ref="G105">INDEX(door_open[door_open],
  1+MOD(QUOTIENT(ROW()-ROW($B$2),
     ROWS(smoke_seal[smoke_seal])
  ),
  ROWS(door_open[door_open]))
)</f>
        <v>Closed</v>
      </c>
      <c r="H105" t="str" cm="1">
        <f t="array" ref="H105">INDEX(smoke_seal[smoke_seal],
  1+MOD(ROW()-ROW($B$2), ROWS(smoke_seal[smoke_seal]))
)</f>
        <v>Success</v>
      </c>
      <c r="I105" t="str">
        <f>IF(event_tree[[#This Row],[door_open]]="Open","Open",IF(event_tree[[#This Row],[smoke_seal]]="Success","Close","Part"))</f>
        <v>Close</v>
      </c>
      <c r="J105">
        <f>IF(B105="apartment",Inputs!$I$7,Inputs!$I$6)</f>
        <v>1.2999999999999999E-3</v>
      </c>
      <c r="K105">
        <f>PRODUCT(
  INDEX(fire_location[Probability],MATCH($B105,fire_location[fire_location],0)),
  INDEX(smoke_detection_apt[Probability],MATCH($C105,smoke_detection_apt[smoke_detection_apt],0)),
  INDEX(smoke_detection_corridor[Probability],MATCH($D105,smoke_detection_corridor[smoke_detection_corridor],0)),
  INDEX(sprinkler[Probability],MATCH($E105,sprinkler[sprinkler],0)),
  INDEX(manual_suppression[Probability],MATCH($F105,manual_suppression[manual_suppression],0)),
  INDEX(door_open[Probability],MATCH($G105,door_open[door_open],0)),
  INDEX(smoke_seal[Probability],MATCH($H105,smoke_seal[smoke_seal],0))
)</f>
        <v>1.2696547500000012E-3</v>
      </c>
      <c r="L10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05" t="str">
        <f>event_tree[[#This Row],[ASET_scenario]]&amp;Inputs!$F$8</f>
        <v>X6</v>
      </c>
      <c r="N10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0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05" t="str">
        <f>event_tree[[#This Row],[fire_location]]&amp;Inputs!$F$8</f>
        <v>Corridor6</v>
      </c>
      <c r="Q10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05">
        <f>IF(event_tree[[#This Row],[fire_location]]="Apartment",Inputs!$F$11,Inputs!$F$12)</f>
        <v>600</v>
      </c>
      <c r="S105">
        <f>10+Inputs!$F$8</f>
        <v>16</v>
      </c>
      <c r="T10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05">
        <f>IF(event_tree[[#This Row],[fire_location]]="Apartment",Inputs!$F$12,Inputs!$F$11)</f>
        <v>60</v>
      </c>
      <c r="V105">
        <f>10+Inputs!$F$8</f>
        <v>16</v>
      </c>
      <c r="W105">
        <f>30</f>
        <v>30</v>
      </c>
      <c r="X105" t="str">
        <f>IF(event_tree[[#This Row],[ASET_scenario]]="X","extinguish",
   event_tree[[#This Row],[SOU_tdet]] + event_tree[[#This Row],[SOU_tpre]] + event_tree[[#This Row],[tnot]])</f>
        <v>extinguish</v>
      </c>
      <c r="Y105" t="str">
        <f>IF(event_tree[[#This Row],[ASET_scenario]]="X","extinguish",
   event_tree[[#This Row],[SOU_inside_RSET]] + event_tree[[#This Row],[SOU_ttrav]])</f>
        <v>extinguish</v>
      </c>
      <c r="Z10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05" t="str">
        <f>IF(event_tree[[#This Row],[ASET_scenario]]="X","extinguish", event_tree[[#This Row],[apt_ASET]]/event_tree[[#This Row],[SOU_inside_RSET]])</f>
        <v>extinguish</v>
      </c>
      <c r="AB105" t="str">
        <f>IF(event_tree[[#This Row],[ASET_scenario]]="X","extinguish",event_tree[[#This Row],[cor_ASET]]/event_tree[[#This Row],[SOU_outside_RSET]])</f>
        <v>extinguish</v>
      </c>
      <c r="AC105" t="str">
        <f>IF(event_tree[[#This Row],[ASET_scenario]]="X","extinguish",event_tree[[#This Row],[cor_ASET]]/event_tree[[#This Row],[remote_RSET]])</f>
        <v>extinguish</v>
      </c>
      <c r="AD105" t="b">
        <f>IF(OR(event_tree[[#This Row],[SOU_inside_ratio]]&lt;1,event_tree[[#This Row],[SOU_outside_ratio]]&lt;1),2)</f>
        <v>0</v>
      </c>
      <c r="AE105" t="b">
        <f>IF(event_tree[[#This Row],[remote_ratio]]&lt;1,2*(Inputs!$F$5-1))</f>
        <v>0</v>
      </c>
      <c r="AF105">
        <f>event_tree[[#This Row],[SOU_casualty]]+event_tree[[#This Row],[remote_casualty]]</f>
        <v>0</v>
      </c>
      <c r="AG105">
        <f>event_tree[[#This Row],[fire_frequency]]*event_tree[[#This Row],[probability_of_scenario]]</f>
        <v>1.6505511750000014E-6</v>
      </c>
      <c r="AH105">
        <f>event_tree[[#This Row],[total_casualty]]*event_tree[[#This Row],[fire_probability]]</f>
        <v>0</v>
      </c>
    </row>
    <row r="106" spans="1:34" x14ac:dyDescent="0.25">
      <c r="A106">
        <v>105</v>
      </c>
      <c r="B106" t="str" cm="1">
        <f t="array" ref="B10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6" t="str" cm="1">
        <f t="array" ref="C10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6" t="str" cm="1">
        <f t="array" ref="D10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6" t="str" cm="1">
        <f t="array" ref="E106">INDEX(sprinkler[sprinkler],
  1+MOD(QUOTIENT(ROW()-ROW($B$2),
     ROWS(manual_suppression[manual_suppression])*
     ROWS(door_open[door_open])*
     ROWS(smoke_seal[smoke_seal])
  ),
  ROWS(sprinkler[sprinkler]))
)</f>
        <v>Control</v>
      </c>
      <c r="F106" t="str" cm="1">
        <f t="array" ref="F106">INDEX(manual_suppression[manual_suppression],
  1+MOD(QUOTIENT(ROW()-ROW($B$2),
     ROWS(door_open[door_open])*
     ROWS(smoke_seal[smoke_seal])
  ),
  ROWS(manual_suppression[manual_suppression]))
)</f>
        <v>Fail</v>
      </c>
      <c r="G106" t="str" cm="1">
        <f t="array" ref="G106">INDEX(door_open[door_open],
  1+MOD(QUOTIENT(ROW()-ROW($B$2),
     ROWS(smoke_seal[smoke_seal])
  ),
  ROWS(door_open[door_open]))
)</f>
        <v>Open</v>
      </c>
      <c r="H106" t="str" cm="1">
        <f t="array" ref="H106">INDEX(smoke_seal[smoke_seal],
  1+MOD(ROW()-ROW($B$2), ROWS(smoke_seal[smoke_seal]))
)</f>
        <v>Fail</v>
      </c>
      <c r="I106" t="str">
        <f>IF(event_tree[[#This Row],[door_open]]="Open","Open",IF(event_tree[[#This Row],[smoke_seal]]="Success","Close","Part"))</f>
        <v>Open</v>
      </c>
      <c r="J106">
        <f>IF(B106="apartment",Inputs!$I$7,Inputs!$I$6)</f>
        <v>1.2999999999999999E-3</v>
      </c>
      <c r="K106">
        <f>PRODUCT(
  INDEX(fire_location[Probability],MATCH($B106,fire_location[fire_location],0)),
  INDEX(smoke_detection_apt[Probability],MATCH($C106,smoke_detection_apt[smoke_detection_apt],0)),
  INDEX(smoke_detection_corridor[Probability],MATCH($D106,smoke_detection_corridor[smoke_detection_corridor],0)),
  INDEX(sprinkler[Probability],MATCH($E106,sprinkler[sprinkler],0)),
  INDEX(manual_suppression[Probability],MATCH($F106,manual_suppression[manual_suppression],0)),
  INDEX(door_open[Probability],MATCH($G106,door_open[door_open],0)),
  INDEX(smoke_seal[Probability],MATCH($H106,smoke_seal[smoke_seal],0))
)</f>
        <v>6.6262455000000052E-4</v>
      </c>
      <c r="L10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J</v>
      </c>
      <c r="M106" t="str">
        <f>event_tree[[#This Row],[ASET_scenario]]&amp;Inputs!$F$8</f>
        <v>J6</v>
      </c>
      <c r="N106">
        <f>IF(OR(event_tree[[#This Row],[sprinkler]]="Extinguish",event_tree[[#This Row],[manual_suppression]]="Suppress"),"extinguish",_xlfn.XLOOKUP(event_tree[[#This Row],[ASET_helper1]],ASET_data[ASET_helper1],ASET_data[apt_ASET]))</f>
        <v>80</v>
      </c>
      <c r="O106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06" t="str">
        <f>event_tree[[#This Row],[fire_location]]&amp;Inputs!$F$8</f>
        <v>Corridor6</v>
      </c>
      <c r="Q10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60</v>
      </c>
      <c r="R106">
        <f>IF(event_tree[[#This Row],[fire_location]]="Apartment",Inputs!$F$11,Inputs!$F$12)</f>
        <v>600</v>
      </c>
      <c r="S106">
        <f>10+Inputs!$F$8</f>
        <v>16</v>
      </c>
      <c r="T10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06">
        <f>IF(event_tree[[#This Row],[fire_location]]="Apartment",Inputs!$F$12,Inputs!$F$11)</f>
        <v>60</v>
      </c>
      <c r="V106">
        <f>10+Inputs!$F$8</f>
        <v>16</v>
      </c>
      <c r="W106">
        <f>30</f>
        <v>30</v>
      </c>
      <c r="X106">
        <f>IF(event_tree[[#This Row],[ASET_scenario]]="X","extinguish",
   event_tree[[#This Row],[SOU_tdet]] + event_tree[[#This Row],[SOU_tpre]] + event_tree[[#This Row],[tnot]])</f>
        <v>690</v>
      </c>
      <c r="Y106">
        <f>IF(event_tree[[#This Row],[ASET_scenario]]="X","extinguish",
   event_tree[[#This Row],[SOU_inside_RSET]] + event_tree[[#This Row],[SOU_ttrav]])</f>
        <v>706</v>
      </c>
      <c r="Z106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06">
        <f>IF(event_tree[[#This Row],[ASET_scenario]]="X","extinguish", event_tree[[#This Row],[apt_ASET]]/event_tree[[#This Row],[SOU_inside_RSET]])</f>
        <v>0.11594202898550725</v>
      </c>
      <c r="AB106">
        <f>IF(event_tree[[#This Row],[ASET_scenario]]="X","extinguish",event_tree[[#This Row],[cor_ASET]]/event_tree[[#This Row],[SOU_outside_RSET]])</f>
        <v>3.1161473087818695E-2</v>
      </c>
      <c r="AC106">
        <f>IF(event_tree[[#This Row],[ASET_scenario]]="X","extinguish",event_tree[[#This Row],[cor_ASET]]/event_tree[[#This Row],[remote_RSET]])</f>
        <v>0.15172413793103448</v>
      </c>
      <c r="AD106">
        <f>IF(OR(event_tree[[#This Row],[SOU_inside_ratio]]&lt;1,event_tree[[#This Row],[SOU_outside_ratio]]&lt;1),2)</f>
        <v>2</v>
      </c>
      <c r="AE106">
        <f>IF(event_tree[[#This Row],[remote_ratio]]&lt;1,2*(Inputs!$F$5-1))</f>
        <v>10</v>
      </c>
      <c r="AF106">
        <f>event_tree[[#This Row],[SOU_casualty]]+event_tree[[#This Row],[remote_casualty]]</f>
        <v>12</v>
      </c>
      <c r="AG106">
        <f>event_tree[[#This Row],[fire_frequency]]*event_tree[[#This Row],[probability_of_scenario]]</f>
        <v>8.6141191500000068E-7</v>
      </c>
      <c r="AH106">
        <f>event_tree[[#This Row],[total_casualty]]*event_tree[[#This Row],[fire_probability]]</f>
        <v>1.0336942980000007E-5</v>
      </c>
    </row>
    <row r="107" spans="1:34" x14ac:dyDescent="0.25">
      <c r="A107">
        <v>106</v>
      </c>
      <c r="B107" t="str" cm="1">
        <f t="array" ref="B10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7" t="str" cm="1">
        <f t="array" ref="C10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7" t="str" cm="1">
        <f t="array" ref="D10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7" t="str" cm="1">
        <f t="array" ref="E107">INDEX(sprinkler[sprinkler],
  1+MOD(QUOTIENT(ROW()-ROW($B$2),
     ROWS(manual_suppression[manual_suppression])*
     ROWS(door_open[door_open])*
     ROWS(smoke_seal[smoke_seal])
  ),
  ROWS(sprinkler[sprinkler]))
)</f>
        <v>Control</v>
      </c>
      <c r="F107" t="str" cm="1">
        <f t="array" ref="F107">INDEX(manual_suppression[manual_suppression],
  1+MOD(QUOTIENT(ROW()-ROW($B$2),
     ROWS(door_open[door_open])*
     ROWS(smoke_seal[smoke_seal])
  ),
  ROWS(manual_suppression[manual_suppression]))
)</f>
        <v>Fail</v>
      </c>
      <c r="G107" t="str" cm="1">
        <f t="array" ref="G107">INDEX(door_open[door_open],
  1+MOD(QUOTIENT(ROW()-ROW($B$2),
     ROWS(smoke_seal[smoke_seal])
  ),
  ROWS(door_open[door_open]))
)</f>
        <v>Open</v>
      </c>
      <c r="H107" t="str" cm="1">
        <f t="array" ref="H107">INDEX(smoke_seal[smoke_seal],
  1+MOD(ROW()-ROW($B$2), ROWS(smoke_seal[smoke_seal]))
)</f>
        <v>Success</v>
      </c>
      <c r="I107" t="str">
        <f>IF(event_tree[[#This Row],[door_open]]="Open","Open",IF(event_tree[[#This Row],[smoke_seal]]="Success","Close","Part"))</f>
        <v>Open</v>
      </c>
      <c r="J107">
        <f>IF(B107="apartment",Inputs!$I$7,Inputs!$I$6)</f>
        <v>1.2999999999999999E-3</v>
      </c>
      <c r="K107">
        <f>PRODUCT(
  INDEX(fire_location[Probability],MATCH($B107,fire_location[fire_location],0)),
  INDEX(smoke_detection_apt[Probability],MATCH($C107,smoke_detection_apt[smoke_detection_apt],0)),
  INDEX(smoke_detection_corridor[Probability],MATCH($D107,smoke_detection_corridor[smoke_detection_corridor],0)),
  INDEX(sprinkler[Probability],MATCH($E107,sprinkler[sprinkler],0)),
  INDEX(manual_suppression[Probability],MATCH($F107,manual_suppression[manual_suppression],0)),
  INDEX(door_open[Probability],MATCH($G107,door_open[door_open],0)),
  INDEX(smoke_seal[Probability],MATCH($H107,smoke_seal[smoke_seal],0))
)</f>
        <v>1.2305884500000009E-3</v>
      </c>
      <c r="L10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J</v>
      </c>
      <c r="M107" t="str">
        <f>event_tree[[#This Row],[ASET_scenario]]&amp;Inputs!$F$8</f>
        <v>J6</v>
      </c>
      <c r="N107">
        <f>IF(OR(event_tree[[#This Row],[sprinkler]]="Extinguish",event_tree[[#This Row],[manual_suppression]]="Suppress"),"extinguish",_xlfn.XLOOKUP(event_tree[[#This Row],[ASET_helper1]],ASET_data[ASET_helper1],ASET_data[apt_ASET]))</f>
        <v>80</v>
      </c>
      <c r="O107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07" t="str">
        <f>event_tree[[#This Row],[fire_location]]&amp;Inputs!$F$8</f>
        <v>Corridor6</v>
      </c>
      <c r="Q10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60</v>
      </c>
      <c r="R107">
        <f>IF(event_tree[[#This Row],[fire_location]]="Apartment",Inputs!$F$11,Inputs!$F$12)</f>
        <v>600</v>
      </c>
      <c r="S107">
        <f>10+Inputs!$F$8</f>
        <v>16</v>
      </c>
      <c r="T10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07">
        <f>IF(event_tree[[#This Row],[fire_location]]="Apartment",Inputs!$F$12,Inputs!$F$11)</f>
        <v>60</v>
      </c>
      <c r="V107">
        <f>10+Inputs!$F$8</f>
        <v>16</v>
      </c>
      <c r="W107">
        <f>30</f>
        <v>30</v>
      </c>
      <c r="X107">
        <f>IF(event_tree[[#This Row],[ASET_scenario]]="X","extinguish",
   event_tree[[#This Row],[SOU_tdet]] + event_tree[[#This Row],[SOU_tpre]] + event_tree[[#This Row],[tnot]])</f>
        <v>690</v>
      </c>
      <c r="Y107">
        <f>IF(event_tree[[#This Row],[ASET_scenario]]="X","extinguish",
   event_tree[[#This Row],[SOU_inside_RSET]] + event_tree[[#This Row],[SOU_ttrav]])</f>
        <v>706</v>
      </c>
      <c r="Z107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07">
        <f>IF(event_tree[[#This Row],[ASET_scenario]]="X","extinguish", event_tree[[#This Row],[apt_ASET]]/event_tree[[#This Row],[SOU_inside_RSET]])</f>
        <v>0.11594202898550725</v>
      </c>
      <c r="AB107">
        <f>IF(event_tree[[#This Row],[ASET_scenario]]="X","extinguish",event_tree[[#This Row],[cor_ASET]]/event_tree[[#This Row],[SOU_outside_RSET]])</f>
        <v>3.1161473087818695E-2</v>
      </c>
      <c r="AC107">
        <f>IF(event_tree[[#This Row],[ASET_scenario]]="X","extinguish",event_tree[[#This Row],[cor_ASET]]/event_tree[[#This Row],[remote_RSET]])</f>
        <v>0.15172413793103448</v>
      </c>
      <c r="AD107">
        <f>IF(OR(event_tree[[#This Row],[SOU_inside_ratio]]&lt;1,event_tree[[#This Row],[SOU_outside_ratio]]&lt;1),2)</f>
        <v>2</v>
      </c>
      <c r="AE107">
        <f>IF(event_tree[[#This Row],[remote_ratio]]&lt;1,2*(Inputs!$F$5-1))</f>
        <v>10</v>
      </c>
      <c r="AF107">
        <f>event_tree[[#This Row],[SOU_casualty]]+event_tree[[#This Row],[remote_casualty]]</f>
        <v>12</v>
      </c>
      <c r="AG107">
        <f>event_tree[[#This Row],[fire_frequency]]*event_tree[[#This Row],[probability_of_scenario]]</f>
        <v>1.5997649850000011E-6</v>
      </c>
      <c r="AH107">
        <f>event_tree[[#This Row],[total_casualty]]*event_tree[[#This Row],[fire_probability]]</f>
        <v>1.9197179820000015E-5</v>
      </c>
    </row>
    <row r="108" spans="1:34" x14ac:dyDescent="0.25">
      <c r="A108">
        <v>107</v>
      </c>
      <c r="B108" t="str" cm="1">
        <f t="array" ref="B10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8" t="str" cm="1">
        <f t="array" ref="C10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8" t="str" cm="1">
        <f t="array" ref="D10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8" t="str" cm="1">
        <f t="array" ref="E108">INDEX(sprinkler[sprinkler],
  1+MOD(QUOTIENT(ROW()-ROW($B$2),
     ROWS(manual_suppression[manual_suppression])*
     ROWS(door_open[door_open])*
     ROWS(smoke_seal[smoke_seal])
  ),
  ROWS(sprinkler[sprinkler]))
)</f>
        <v>Control</v>
      </c>
      <c r="F108" t="str" cm="1">
        <f t="array" ref="F108">INDEX(manual_suppression[manual_suppression],
  1+MOD(QUOTIENT(ROW()-ROW($B$2),
     ROWS(door_open[door_open])*
     ROWS(smoke_seal[smoke_seal])
  ),
  ROWS(manual_suppression[manual_suppression]))
)</f>
        <v>Fail</v>
      </c>
      <c r="G108" t="str" cm="1">
        <f t="array" ref="G108">INDEX(door_open[door_open],
  1+MOD(QUOTIENT(ROW()-ROW($B$2),
     ROWS(smoke_seal[smoke_seal])
  ),
  ROWS(door_open[door_open]))
)</f>
        <v>Closed</v>
      </c>
      <c r="H108" t="str" cm="1">
        <f t="array" ref="H108">INDEX(smoke_seal[smoke_seal],
  1+MOD(ROW()-ROW($B$2), ROWS(smoke_seal[smoke_seal]))
)</f>
        <v>Fail</v>
      </c>
      <c r="I108" t="str">
        <f>IF(event_tree[[#This Row],[door_open]]="Open","Open",IF(event_tree[[#This Row],[smoke_seal]]="Success","Close","Part"))</f>
        <v>Part</v>
      </c>
      <c r="J108">
        <f>IF(B108="apartment",Inputs!$I$7,Inputs!$I$6)</f>
        <v>1.2999999999999999E-3</v>
      </c>
      <c r="K108">
        <f>PRODUCT(
  INDEX(fire_location[Probability],MATCH($B108,fire_location[fire_location],0)),
  INDEX(smoke_detection_apt[Probability],MATCH($C108,smoke_detection_apt[smoke_detection_apt],0)),
  INDEX(smoke_detection_corridor[Probability],MATCH($D108,smoke_detection_corridor[smoke_detection_corridor],0)),
  INDEX(sprinkler[Probability],MATCH($E108,sprinkler[sprinkler],0)),
  INDEX(manual_suppression[Probability],MATCH($F108,manual_suppression[manual_suppression],0)),
  INDEX(door_open[Probability],MATCH($G108,door_open[door_open],0)),
  INDEX(smoke_seal[Probability],MATCH($H108,smoke_seal[smoke_seal],0))
)</f>
        <v>1.5461239500000009E-3</v>
      </c>
      <c r="L10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L</v>
      </c>
      <c r="M108" t="str">
        <f>event_tree[[#This Row],[ASET_scenario]]&amp;Inputs!$F$8</f>
        <v>L6</v>
      </c>
      <c r="N108">
        <f>IF(OR(event_tree[[#This Row],[sprinkler]]="Extinguish",event_tree[[#This Row],[manual_suppression]]="Suppress"),"extinguish",_xlfn.XLOOKUP(event_tree[[#This Row],[ASET_helper1]],ASET_data[ASET_helper1],ASET_data[apt_ASET]))</f>
        <v>96</v>
      </c>
      <c r="O108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08" t="str">
        <f>event_tree[[#This Row],[fire_location]]&amp;Inputs!$F$8</f>
        <v>Corridor6</v>
      </c>
      <c r="Q10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67</v>
      </c>
      <c r="R108">
        <f>IF(event_tree[[#This Row],[fire_location]]="Apartment",Inputs!$F$11,Inputs!$F$12)</f>
        <v>600</v>
      </c>
      <c r="S108">
        <f>10+Inputs!$F$8</f>
        <v>16</v>
      </c>
      <c r="T10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08">
        <f>IF(event_tree[[#This Row],[fire_location]]="Apartment",Inputs!$F$12,Inputs!$F$11)</f>
        <v>60</v>
      </c>
      <c r="V108">
        <f>10+Inputs!$F$8</f>
        <v>16</v>
      </c>
      <c r="W108">
        <f>30</f>
        <v>30</v>
      </c>
      <c r="X108">
        <f>IF(event_tree[[#This Row],[ASET_scenario]]="X","extinguish",
   event_tree[[#This Row],[SOU_tdet]] + event_tree[[#This Row],[SOU_tpre]] + event_tree[[#This Row],[tnot]])</f>
        <v>697</v>
      </c>
      <c r="Y108">
        <f>IF(event_tree[[#This Row],[ASET_scenario]]="X","extinguish",
   event_tree[[#This Row],[SOU_inside_RSET]] + event_tree[[#This Row],[SOU_ttrav]])</f>
        <v>713</v>
      </c>
      <c r="Z108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08">
        <f>IF(event_tree[[#This Row],[ASET_scenario]]="X","extinguish", event_tree[[#This Row],[apt_ASET]]/event_tree[[#This Row],[SOU_inside_RSET]])</f>
        <v>0.13773314203730272</v>
      </c>
      <c r="AB108">
        <f>IF(event_tree[[#This Row],[ASET_scenario]]="X","extinguish",event_tree[[#This Row],[cor_ASET]]/event_tree[[#This Row],[SOU_outside_RSET]])</f>
        <v>3.0855539971949508E-2</v>
      </c>
      <c r="AC108">
        <f>IF(event_tree[[#This Row],[ASET_scenario]]="X","extinguish",event_tree[[#This Row],[cor_ASET]]/event_tree[[#This Row],[remote_RSET]])</f>
        <v>0.15172413793103448</v>
      </c>
      <c r="AD108">
        <f>IF(OR(event_tree[[#This Row],[SOU_inside_ratio]]&lt;1,event_tree[[#This Row],[SOU_outside_ratio]]&lt;1),2)</f>
        <v>2</v>
      </c>
      <c r="AE108">
        <f>IF(event_tree[[#This Row],[remote_ratio]]&lt;1,2*(Inputs!$F$5-1))</f>
        <v>10</v>
      </c>
      <c r="AF108">
        <f>event_tree[[#This Row],[SOU_casualty]]+event_tree[[#This Row],[remote_casualty]]</f>
        <v>12</v>
      </c>
      <c r="AG108">
        <f>event_tree[[#This Row],[fire_frequency]]*event_tree[[#This Row],[probability_of_scenario]]</f>
        <v>2.0099611350000012E-6</v>
      </c>
      <c r="AH108">
        <f>event_tree[[#This Row],[total_casualty]]*event_tree[[#This Row],[fire_probability]]</f>
        <v>2.4119533620000015E-5</v>
      </c>
    </row>
    <row r="109" spans="1:34" x14ac:dyDescent="0.25">
      <c r="A109">
        <v>108</v>
      </c>
      <c r="B109" t="str" cm="1">
        <f t="array" ref="B10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09" t="str" cm="1">
        <f t="array" ref="C10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09" t="str" cm="1">
        <f t="array" ref="D10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09" t="str" cm="1">
        <f t="array" ref="E109">INDEX(sprinkler[sprinkler],
  1+MOD(QUOTIENT(ROW()-ROW($B$2),
     ROWS(manual_suppression[manual_suppression])*
     ROWS(door_open[door_open])*
     ROWS(smoke_seal[smoke_seal])
  ),
  ROWS(sprinkler[sprinkler]))
)</f>
        <v>Control</v>
      </c>
      <c r="F109" t="str" cm="1">
        <f t="array" ref="F109">INDEX(manual_suppression[manual_suppression],
  1+MOD(QUOTIENT(ROW()-ROW($B$2),
     ROWS(door_open[door_open])*
     ROWS(smoke_seal[smoke_seal])
  ),
  ROWS(manual_suppression[manual_suppression]))
)</f>
        <v>Fail</v>
      </c>
      <c r="G109" t="str" cm="1">
        <f t="array" ref="G109">INDEX(door_open[door_open],
  1+MOD(QUOTIENT(ROW()-ROW($B$2),
     ROWS(smoke_seal[smoke_seal])
  ),
  ROWS(door_open[door_open]))
)</f>
        <v>Closed</v>
      </c>
      <c r="H109" t="str" cm="1">
        <f t="array" ref="H109">INDEX(smoke_seal[smoke_seal],
  1+MOD(ROW()-ROW($B$2), ROWS(smoke_seal[smoke_seal]))
)</f>
        <v>Success</v>
      </c>
      <c r="I109" t="str">
        <f>IF(event_tree[[#This Row],[door_open]]="Open","Open",IF(event_tree[[#This Row],[smoke_seal]]="Success","Close","Part"))</f>
        <v>Close</v>
      </c>
      <c r="J109">
        <f>IF(B109="apartment",Inputs!$I$7,Inputs!$I$6)</f>
        <v>1.2999999999999999E-3</v>
      </c>
      <c r="K109">
        <f>PRODUCT(
  INDEX(fire_location[Probability],MATCH($B109,fire_location[fire_location],0)),
  INDEX(smoke_detection_apt[Probability],MATCH($C109,smoke_detection_apt[smoke_detection_apt],0)),
  INDEX(smoke_detection_corridor[Probability],MATCH($D109,smoke_detection_corridor[smoke_detection_corridor],0)),
  INDEX(sprinkler[Probability],MATCH($E109,sprinkler[sprinkler],0)),
  INDEX(manual_suppression[Probability],MATCH($F109,manual_suppression[manual_suppression],0)),
  INDEX(door_open[Probability],MATCH($G109,door_open[door_open],0)),
  INDEX(smoke_seal[Probability],MATCH($H109,smoke_seal[smoke_seal],0))
)</f>
        <v>2.8713730500000019E-3</v>
      </c>
      <c r="L10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K</v>
      </c>
      <c r="M109" t="str">
        <f>event_tree[[#This Row],[ASET_scenario]]&amp;Inputs!$F$8</f>
        <v>K6</v>
      </c>
      <c r="N109">
        <f>IF(OR(event_tree[[#This Row],[sprinkler]]="Extinguish",event_tree[[#This Row],[manual_suppression]]="Suppress"),"extinguish",_xlfn.XLOOKUP(event_tree[[#This Row],[ASET_helper1]],ASET_data[ASET_helper1],ASET_data[apt_ASET]))</f>
        <v>3600</v>
      </c>
      <c r="O109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09" t="str">
        <f>event_tree[[#This Row],[fire_location]]&amp;Inputs!$F$8</f>
        <v>Corridor6</v>
      </c>
      <c r="Q10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339</v>
      </c>
      <c r="R109">
        <f>IF(event_tree[[#This Row],[fire_location]]="Apartment",Inputs!$F$11,Inputs!$F$12)</f>
        <v>600</v>
      </c>
      <c r="S109">
        <f>10+Inputs!$F$8</f>
        <v>16</v>
      </c>
      <c r="T10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09">
        <f>IF(event_tree[[#This Row],[fire_location]]="Apartment",Inputs!$F$12,Inputs!$F$11)</f>
        <v>60</v>
      </c>
      <c r="V109">
        <f>10+Inputs!$F$8</f>
        <v>16</v>
      </c>
      <c r="W109">
        <f>30</f>
        <v>30</v>
      </c>
      <c r="X109">
        <f>IF(event_tree[[#This Row],[ASET_scenario]]="X","extinguish",
   event_tree[[#This Row],[SOU_tdet]] + event_tree[[#This Row],[SOU_tpre]] + event_tree[[#This Row],[tnot]])</f>
        <v>969</v>
      </c>
      <c r="Y109">
        <f>IF(event_tree[[#This Row],[ASET_scenario]]="X","extinguish",
   event_tree[[#This Row],[SOU_inside_RSET]] + event_tree[[#This Row],[SOU_ttrav]])</f>
        <v>985</v>
      </c>
      <c r="Z109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09">
        <f>IF(event_tree[[#This Row],[ASET_scenario]]="X","extinguish", event_tree[[#This Row],[apt_ASET]]/event_tree[[#This Row],[SOU_inside_RSET]])</f>
        <v>3.7151702786377707</v>
      </c>
      <c r="AB109">
        <f>IF(event_tree[[#This Row],[ASET_scenario]]="X","extinguish",event_tree[[#This Row],[cor_ASET]]/event_tree[[#This Row],[SOU_outside_RSET]])</f>
        <v>2.2335025380710659E-2</v>
      </c>
      <c r="AC109">
        <f>IF(event_tree[[#This Row],[ASET_scenario]]="X","extinguish",event_tree[[#This Row],[cor_ASET]]/event_tree[[#This Row],[remote_RSET]])</f>
        <v>0.15172413793103448</v>
      </c>
      <c r="AD109">
        <f>IF(OR(event_tree[[#This Row],[SOU_inside_ratio]]&lt;1,event_tree[[#This Row],[SOU_outside_ratio]]&lt;1),2)</f>
        <v>2</v>
      </c>
      <c r="AE109">
        <f>IF(event_tree[[#This Row],[remote_ratio]]&lt;1,2*(Inputs!$F$5-1))</f>
        <v>10</v>
      </c>
      <c r="AF109">
        <f>event_tree[[#This Row],[SOU_casualty]]+event_tree[[#This Row],[remote_casualty]]</f>
        <v>12</v>
      </c>
      <c r="AG109">
        <f>event_tree[[#This Row],[fire_frequency]]*event_tree[[#This Row],[probability_of_scenario]]</f>
        <v>3.7327849650000022E-6</v>
      </c>
      <c r="AH109">
        <f>event_tree[[#This Row],[total_casualty]]*event_tree[[#This Row],[fire_probability]]</f>
        <v>4.4793419580000026E-5</v>
      </c>
    </row>
    <row r="110" spans="1:34" x14ac:dyDescent="0.25">
      <c r="A110">
        <v>109</v>
      </c>
      <c r="B110" t="str" cm="1">
        <f t="array" ref="B11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0" t="str" cm="1">
        <f t="array" ref="C11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0" t="str" cm="1">
        <f t="array" ref="D11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0" t="str" cm="1">
        <f t="array" ref="E110">INDEX(sprinkler[sprinkler],
  1+MOD(QUOTIENT(ROW()-ROW($B$2),
     ROWS(manual_suppression[manual_suppression])*
     ROWS(door_open[door_open])*
     ROWS(smoke_seal[smoke_seal])
  ),
  ROWS(sprinkler[sprinkler]))
)</f>
        <v>Control</v>
      </c>
      <c r="F110" t="str" cm="1">
        <f t="array" ref="F110">INDEX(manual_suppression[manual_suppression],
  1+MOD(QUOTIENT(ROW()-ROW($B$2),
     ROWS(door_open[door_open])*
     ROWS(smoke_seal[smoke_seal])
  ),
  ROWS(manual_suppression[manual_suppression]))
)</f>
        <v>Suppress</v>
      </c>
      <c r="G110" t="str" cm="1">
        <f t="array" ref="G110">INDEX(door_open[door_open],
  1+MOD(QUOTIENT(ROW()-ROW($B$2),
     ROWS(smoke_seal[smoke_seal])
  ),
  ROWS(door_open[door_open]))
)</f>
        <v>Open</v>
      </c>
      <c r="H110" t="str" cm="1">
        <f t="array" ref="H110">INDEX(smoke_seal[smoke_seal],
  1+MOD(ROW()-ROW($B$2), ROWS(smoke_seal[smoke_seal]))
)</f>
        <v>Fail</v>
      </c>
      <c r="I110" t="str">
        <f>IF(event_tree[[#This Row],[door_open]]="Open","Open",IF(event_tree[[#This Row],[smoke_seal]]="Success","Close","Part"))</f>
        <v>Open</v>
      </c>
      <c r="J110">
        <f>IF(B110="apartment",Inputs!$I$7,Inputs!$I$6)</f>
        <v>1.2999999999999999E-3</v>
      </c>
      <c r="K110">
        <f>PRODUCT(
  INDEX(fire_location[Probability],MATCH($B110,fire_location[fire_location],0)),
  INDEX(smoke_detection_apt[Probability],MATCH($C110,smoke_detection_apt[smoke_detection_apt],0)),
  INDEX(smoke_detection_corridor[Probability],MATCH($D110,smoke_detection_corridor[smoke_detection_corridor],0)),
  INDEX(sprinkler[Probability],MATCH($E110,sprinkler[sprinkler],0)),
  INDEX(manual_suppression[Probability],MATCH($F110,manual_suppression[manual_suppression],0)),
  INDEX(door_open[Probability],MATCH($G110,door_open[door_open],0)),
  INDEX(smoke_seal[Probability],MATCH($H110,smoke_seal[smoke_seal],0))
)</f>
        <v>1.2305884500000009E-3</v>
      </c>
      <c r="L11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0" t="str">
        <f>event_tree[[#This Row],[ASET_scenario]]&amp;Inputs!$F$8</f>
        <v>X6</v>
      </c>
      <c r="N11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0" t="str">
        <f>event_tree[[#This Row],[fire_location]]&amp;Inputs!$F$8</f>
        <v>Corridor6</v>
      </c>
      <c r="Q11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0">
        <f>IF(event_tree[[#This Row],[fire_location]]="Apartment",Inputs!$F$11,Inputs!$F$12)</f>
        <v>600</v>
      </c>
      <c r="S110">
        <f>10+Inputs!$F$8</f>
        <v>16</v>
      </c>
      <c r="T11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0">
        <f>IF(event_tree[[#This Row],[fire_location]]="Apartment",Inputs!$F$12,Inputs!$F$11)</f>
        <v>60</v>
      </c>
      <c r="V110">
        <f>10+Inputs!$F$8</f>
        <v>16</v>
      </c>
      <c r="W110">
        <f>30</f>
        <v>30</v>
      </c>
      <c r="X110" t="str">
        <f>IF(event_tree[[#This Row],[ASET_scenario]]="X","extinguish",
   event_tree[[#This Row],[SOU_tdet]] + event_tree[[#This Row],[SOU_tpre]] + event_tree[[#This Row],[tnot]])</f>
        <v>extinguish</v>
      </c>
      <c r="Y110" t="str">
        <f>IF(event_tree[[#This Row],[ASET_scenario]]="X","extinguish",
   event_tree[[#This Row],[SOU_inside_RSET]] + event_tree[[#This Row],[SOU_ttrav]])</f>
        <v>extinguish</v>
      </c>
      <c r="Z11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0" t="str">
        <f>IF(event_tree[[#This Row],[ASET_scenario]]="X","extinguish", event_tree[[#This Row],[apt_ASET]]/event_tree[[#This Row],[SOU_inside_RSET]])</f>
        <v>extinguish</v>
      </c>
      <c r="AB110" t="str">
        <f>IF(event_tree[[#This Row],[ASET_scenario]]="X","extinguish",event_tree[[#This Row],[cor_ASET]]/event_tree[[#This Row],[SOU_outside_RSET]])</f>
        <v>extinguish</v>
      </c>
      <c r="AC110" t="str">
        <f>IF(event_tree[[#This Row],[ASET_scenario]]="X","extinguish",event_tree[[#This Row],[cor_ASET]]/event_tree[[#This Row],[remote_RSET]])</f>
        <v>extinguish</v>
      </c>
      <c r="AD110" t="b">
        <f>IF(OR(event_tree[[#This Row],[SOU_inside_ratio]]&lt;1,event_tree[[#This Row],[SOU_outside_ratio]]&lt;1),2)</f>
        <v>0</v>
      </c>
      <c r="AE110" t="b">
        <f>IF(event_tree[[#This Row],[remote_ratio]]&lt;1,2*(Inputs!$F$5-1))</f>
        <v>0</v>
      </c>
      <c r="AF110">
        <f>event_tree[[#This Row],[SOU_casualty]]+event_tree[[#This Row],[remote_casualty]]</f>
        <v>0</v>
      </c>
      <c r="AG110">
        <f>event_tree[[#This Row],[fire_frequency]]*event_tree[[#This Row],[probability_of_scenario]]</f>
        <v>1.5997649850000011E-6</v>
      </c>
      <c r="AH110">
        <f>event_tree[[#This Row],[total_casualty]]*event_tree[[#This Row],[fire_probability]]</f>
        <v>0</v>
      </c>
    </row>
    <row r="111" spans="1:34" x14ac:dyDescent="0.25">
      <c r="A111">
        <v>110</v>
      </c>
      <c r="B111" t="str" cm="1">
        <f t="array" ref="B11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1" t="str" cm="1">
        <f t="array" ref="C11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1" t="str" cm="1">
        <f t="array" ref="D11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1" t="str" cm="1">
        <f t="array" ref="E111">INDEX(sprinkler[sprinkler],
  1+MOD(QUOTIENT(ROW()-ROW($B$2),
     ROWS(manual_suppression[manual_suppression])*
     ROWS(door_open[door_open])*
     ROWS(smoke_seal[smoke_seal])
  ),
  ROWS(sprinkler[sprinkler]))
)</f>
        <v>Control</v>
      </c>
      <c r="F111" t="str" cm="1">
        <f t="array" ref="F111">INDEX(manual_suppression[manual_suppression],
  1+MOD(QUOTIENT(ROW()-ROW($B$2),
     ROWS(door_open[door_open])*
     ROWS(smoke_seal[smoke_seal])
  ),
  ROWS(manual_suppression[manual_suppression]))
)</f>
        <v>Suppress</v>
      </c>
      <c r="G111" t="str" cm="1">
        <f t="array" ref="G111">INDEX(door_open[door_open],
  1+MOD(QUOTIENT(ROW()-ROW($B$2),
     ROWS(smoke_seal[smoke_seal])
  ),
  ROWS(door_open[door_open]))
)</f>
        <v>Open</v>
      </c>
      <c r="H111" t="str" cm="1">
        <f t="array" ref="H111">INDEX(smoke_seal[smoke_seal],
  1+MOD(ROW()-ROW($B$2), ROWS(smoke_seal[smoke_seal]))
)</f>
        <v>Success</v>
      </c>
      <c r="I111" t="str">
        <f>IF(event_tree[[#This Row],[door_open]]="Open","Open",IF(event_tree[[#This Row],[smoke_seal]]="Success","Close","Part"))</f>
        <v>Open</v>
      </c>
      <c r="J111">
        <f>IF(B111="apartment",Inputs!$I$7,Inputs!$I$6)</f>
        <v>1.2999999999999999E-3</v>
      </c>
      <c r="K111">
        <f>PRODUCT(
  INDEX(fire_location[Probability],MATCH($B111,fire_location[fire_location],0)),
  INDEX(smoke_detection_apt[Probability],MATCH($C111,smoke_detection_apt[smoke_detection_apt],0)),
  INDEX(smoke_detection_corridor[Probability],MATCH($D111,smoke_detection_corridor[smoke_detection_corridor],0)),
  INDEX(sprinkler[Probability],MATCH($E111,sprinkler[sprinkler],0)),
  INDEX(manual_suppression[Probability],MATCH($F111,manual_suppression[manual_suppression],0)),
  INDEX(door_open[Probability],MATCH($G111,door_open[door_open],0)),
  INDEX(smoke_seal[Probability],MATCH($H111,smoke_seal[smoke_seal],0))
)</f>
        <v>2.2853785500000019E-3</v>
      </c>
      <c r="L11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1" t="str">
        <f>event_tree[[#This Row],[ASET_scenario]]&amp;Inputs!$F$8</f>
        <v>X6</v>
      </c>
      <c r="N11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1" t="str">
        <f>event_tree[[#This Row],[fire_location]]&amp;Inputs!$F$8</f>
        <v>Corridor6</v>
      </c>
      <c r="Q11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1">
        <f>IF(event_tree[[#This Row],[fire_location]]="Apartment",Inputs!$F$11,Inputs!$F$12)</f>
        <v>600</v>
      </c>
      <c r="S111">
        <f>10+Inputs!$F$8</f>
        <v>16</v>
      </c>
      <c r="T11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1">
        <f>IF(event_tree[[#This Row],[fire_location]]="Apartment",Inputs!$F$12,Inputs!$F$11)</f>
        <v>60</v>
      </c>
      <c r="V111">
        <f>10+Inputs!$F$8</f>
        <v>16</v>
      </c>
      <c r="W111">
        <f>30</f>
        <v>30</v>
      </c>
      <c r="X111" t="str">
        <f>IF(event_tree[[#This Row],[ASET_scenario]]="X","extinguish",
   event_tree[[#This Row],[SOU_tdet]] + event_tree[[#This Row],[SOU_tpre]] + event_tree[[#This Row],[tnot]])</f>
        <v>extinguish</v>
      </c>
      <c r="Y111" t="str">
        <f>IF(event_tree[[#This Row],[ASET_scenario]]="X","extinguish",
   event_tree[[#This Row],[SOU_inside_RSET]] + event_tree[[#This Row],[SOU_ttrav]])</f>
        <v>extinguish</v>
      </c>
      <c r="Z11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1" t="str">
        <f>IF(event_tree[[#This Row],[ASET_scenario]]="X","extinguish", event_tree[[#This Row],[apt_ASET]]/event_tree[[#This Row],[SOU_inside_RSET]])</f>
        <v>extinguish</v>
      </c>
      <c r="AB111" t="str">
        <f>IF(event_tree[[#This Row],[ASET_scenario]]="X","extinguish",event_tree[[#This Row],[cor_ASET]]/event_tree[[#This Row],[SOU_outside_RSET]])</f>
        <v>extinguish</v>
      </c>
      <c r="AC111" t="str">
        <f>IF(event_tree[[#This Row],[ASET_scenario]]="X","extinguish",event_tree[[#This Row],[cor_ASET]]/event_tree[[#This Row],[remote_RSET]])</f>
        <v>extinguish</v>
      </c>
      <c r="AD111" t="b">
        <f>IF(OR(event_tree[[#This Row],[SOU_inside_ratio]]&lt;1,event_tree[[#This Row],[SOU_outside_ratio]]&lt;1),2)</f>
        <v>0</v>
      </c>
      <c r="AE111" t="b">
        <f>IF(event_tree[[#This Row],[remote_ratio]]&lt;1,2*(Inputs!$F$5-1))</f>
        <v>0</v>
      </c>
      <c r="AF111">
        <f>event_tree[[#This Row],[SOU_casualty]]+event_tree[[#This Row],[remote_casualty]]</f>
        <v>0</v>
      </c>
      <c r="AG111">
        <f>event_tree[[#This Row],[fire_frequency]]*event_tree[[#This Row],[probability_of_scenario]]</f>
        <v>2.9709921150000024E-6</v>
      </c>
      <c r="AH111">
        <f>event_tree[[#This Row],[total_casualty]]*event_tree[[#This Row],[fire_probability]]</f>
        <v>0</v>
      </c>
    </row>
    <row r="112" spans="1:34" x14ac:dyDescent="0.25">
      <c r="A112">
        <v>111</v>
      </c>
      <c r="B112" t="str" cm="1">
        <f t="array" ref="B11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2" t="str" cm="1">
        <f t="array" ref="C11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2" t="str" cm="1">
        <f t="array" ref="D11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2" t="str" cm="1">
        <f t="array" ref="E112">INDEX(sprinkler[sprinkler],
  1+MOD(QUOTIENT(ROW()-ROW($B$2),
     ROWS(manual_suppression[manual_suppression])*
     ROWS(door_open[door_open])*
     ROWS(smoke_seal[smoke_seal])
  ),
  ROWS(sprinkler[sprinkler]))
)</f>
        <v>Control</v>
      </c>
      <c r="F112" t="str" cm="1">
        <f t="array" ref="F112">INDEX(manual_suppression[manual_suppression],
  1+MOD(QUOTIENT(ROW()-ROW($B$2),
     ROWS(door_open[door_open])*
     ROWS(smoke_seal[smoke_seal])
  ),
  ROWS(manual_suppression[manual_suppression]))
)</f>
        <v>Suppress</v>
      </c>
      <c r="G112" t="str" cm="1">
        <f t="array" ref="G112">INDEX(door_open[door_open],
  1+MOD(QUOTIENT(ROW()-ROW($B$2),
     ROWS(smoke_seal[smoke_seal])
  ),
  ROWS(door_open[door_open]))
)</f>
        <v>Closed</v>
      </c>
      <c r="H112" t="str" cm="1">
        <f t="array" ref="H112">INDEX(smoke_seal[smoke_seal],
  1+MOD(ROW()-ROW($B$2), ROWS(smoke_seal[smoke_seal]))
)</f>
        <v>Fail</v>
      </c>
      <c r="I112" t="str">
        <f>IF(event_tree[[#This Row],[door_open]]="Open","Open",IF(event_tree[[#This Row],[smoke_seal]]="Success","Close","Part"))</f>
        <v>Part</v>
      </c>
      <c r="J112">
        <f>IF(B112="apartment",Inputs!$I$7,Inputs!$I$6)</f>
        <v>1.2999999999999999E-3</v>
      </c>
      <c r="K112">
        <f>PRODUCT(
  INDEX(fire_location[Probability],MATCH($B112,fire_location[fire_location],0)),
  INDEX(smoke_detection_apt[Probability],MATCH($C112,smoke_detection_apt[smoke_detection_apt],0)),
  INDEX(smoke_detection_corridor[Probability],MATCH($D112,smoke_detection_corridor[smoke_detection_corridor],0)),
  INDEX(sprinkler[Probability],MATCH($E112,sprinkler[sprinkler],0)),
  INDEX(manual_suppression[Probability],MATCH($F112,manual_suppression[manual_suppression],0)),
  INDEX(door_open[Probability],MATCH($G112,door_open[door_open],0)),
  INDEX(smoke_seal[Probability],MATCH($H112,smoke_seal[smoke_seal],0))
)</f>
        <v>2.8713730500000024E-3</v>
      </c>
      <c r="L11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2" t="str">
        <f>event_tree[[#This Row],[ASET_scenario]]&amp;Inputs!$F$8</f>
        <v>X6</v>
      </c>
      <c r="N11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2" t="str">
        <f>event_tree[[#This Row],[fire_location]]&amp;Inputs!$F$8</f>
        <v>Corridor6</v>
      </c>
      <c r="Q11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2">
        <f>IF(event_tree[[#This Row],[fire_location]]="Apartment",Inputs!$F$11,Inputs!$F$12)</f>
        <v>600</v>
      </c>
      <c r="S112">
        <f>10+Inputs!$F$8</f>
        <v>16</v>
      </c>
      <c r="T11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2">
        <f>IF(event_tree[[#This Row],[fire_location]]="Apartment",Inputs!$F$12,Inputs!$F$11)</f>
        <v>60</v>
      </c>
      <c r="V112">
        <f>10+Inputs!$F$8</f>
        <v>16</v>
      </c>
      <c r="W112">
        <f>30</f>
        <v>30</v>
      </c>
      <c r="X112" t="str">
        <f>IF(event_tree[[#This Row],[ASET_scenario]]="X","extinguish",
   event_tree[[#This Row],[SOU_tdet]] + event_tree[[#This Row],[SOU_tpre]] + event_tree[[#This Row],[tnot]])</f>
        <v>extinguish</v>
      </c>
      <c r="Y112" t="str">
        <f>IF(event_tree[[#This Row],[ASET_scenario]]="X","extinguish",
   event_tree[[#This Row],[SOU_inside_RSET]] + event_tree[[#This Row],[SOU_ttrav]])</f>
        <v>extinguish</v>
      </c>
      <c r="Z11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2" t="str">
        <f>IF(event_tree[[#This Row],[ASET_scenario]]="X","extinguish", event_tree[[#This Row],[apt_ASET]]/event_tree[[#This Row],[SOU_inside_RSET]])</f>
        <v>extinguish</v>
      </c>
      <c r="AB112" t="str">
        <f>IF(event_tree[[#This Row],[ASET_scenario]]="X","extinguish",event_tree[[#This Row],[cor_ASET]]/event_tree[[#This Row],[SOU_outside_RSET]])</f>
        <v>extinguish</v>
      </c>
      <c r="AC112" t="str">
        <f>IF(event_tree[[#This Row],[ASET_scenario]]="X","extinguish",event_tree[[#This Row],[cor_ASET]]/event_tree[[#This Row],[remote_RSET]])</f>
        <v>extinguish</v>
      </c>
      <c r="AD112" t="b">
        <f>IF(OR(event_tree[[#This Row],[SOU_inside_ratio]]&lt;1,event_tree[[#This Row],[SOU_outside_ratio]]&lt;1),2)</f>
        <v>0</v>
      </c>
      <c r="AE112" t="b">
        <f>IF(event_tree[[#This Row],[remote_ratio]]&lt;1,2*(Inputs!$F$5-1))</f>
        <v>0</v>
      </c>
      <c r="AF112">
        <f>event_tree[[#This Row],[SOU_casualty]]+event_tree[[#This Row],[remote_casualty]]</f>
        <v>0</v>
      </c>
      <c r="AG112">
        <f>event_tree[[#This Row],[fire_frequency]]*event_tree[[#This Row],[probability_of_scenario]]</f>
        <v>3.732784965000003E-6</v>
      </c>
      <c r="AH112">
        <f>event_tree[[#This Row],[total_casualty]]*event_tree[[#This Row],[fire_probability]]</f>
        <v>0</v>
      </c>
    </row>
    <row r="113" spans="1:34" x14ac:dyDescent="0.25">
      <c r="A113">
        <v>112</v>
      </c>
      <c r="B113" t="str" cm="1">
        <f t="array" ref="B11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3" t="str" cm="1">
        <f t="array" ref="C11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3" t="str" cm="1">
        <f t="array" ref="D11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3" t="str" cm="1">
        <f t="array" ref="E113">INDEX(sprinkler[sprinkler],
  1+MOD(QUOTIENT(ROW()-ROW($B$2),
     ROWS(manual_suppression[manual_suppression])*
     ROWS(door_open[door_open])*
     ROWS(smoke_seal[smoke_seal])
  ),
  ROWS(sprinkler[sprinkler]))
)</f>
        <v>Control</v>
      </c>
      <c r="F113" t="str" cm="1">
        <f t="array" ref="F113">INDEX(manual_suppression[manual_suppression],
  1+MOD(QUOTIENT(ROW()-ROW($B$2),
     ROWS(door_open[door_open])*
     ROWS(smoke_seal[smoke_seal])
  ),
  ROWS(manual_suppression[manual_suppression]))
)</f>
        <v>Suppress</v>
      </c>
      <c r="G113" t="str" cm="1">
        <f t="array" ref="G113">INDEX(door_open[door_open],
  1+MOD(QUOTIENT(ROW()-ROW($B$2),
     ROWS(smoke_seal[smoke_seal])
  ),
  ROWS(door_open[door_open]))
)</f>
        <v>Closed</v>
      </c>
      <c r="H113" t="str" cm="1">
        <f t="array" ref="H113">INDEX(smoke_seal[smoke_seal],
  1+MOD(ROW()-ROW($B$2), ROWS(smoke_seal[smoke_seal]))
)</f>
        <v>Success</v>
      </c>
      <c r="I113" t="str">
        <f>IF(event_tree[[#This Row],[door_open]]="Open","Open",IF(event_tree[[#This Row],[smoke_seal]]="Success","Close","Part"))</f>
        <v>Close</v>
      </c>
      <c r="J113">
        <f>IF(B113="apartment",Inputs!$I$7,Inputs!$I$6)</f>
        <v>1.2999999999999999E-3</v>
      </c>
      <c r="K113">
        <f>PRODUCT(
  INDEX(fire_location[Probability],MATCH($B113,fire_location[fire_location],0)),
  INDEX(smoke_detection_apt[Probability],MATCH($C113,smoke_detection_apt[smoke_detection_apt],0)),
  INDEX(smoke_detection_corridor[Probability],MATCH($D113,smoke_detection_corridor[smoke_detection_corridor],0)),
  INDEX(sprinkler[Probability],MATCH($E113,sprinkler[sprinkler],0)),
  INDEX(manual_suppression[Probability],MATCH($F113,manual_suppression[manual_suppression],0)),
  INDEX(door_open[Probability],MATCH($G113,door_open[door_open],0)),
  INDEX(smoke_seal[Probability],MATCH($H113,smoke_seal[smoke_seal],0))
)</f>
        <v>5.3325499500000047E-3</v>
      </c>
      <c r="L11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3" t="str">
        <f>event_tree[[#This Row],[ASET_scenario]]&amp;Inputs!$F$8</f>
        <v>X6</v>
      </c>
      <c r="N11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3" t="str">
        <f>event_tree[[#This Row],[fire_location]]&amp;Inputs!$F$8</f>
        <v>Corridor6</v>
      </c>
      <c r="Q11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3">
        <f>IF(event_tree[[#This Row],[fire_location]]="Apartment",Inputs!$F$11,Inputs!$F$12)</f>
        <v>600</v>
      </c>
      <c r="S113">
        <f>10+Inputs!$F$8</f>
        <v>16</v>
      </c>
      <c r="T11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3">
        <f>IF(event_tree[[#This Row],[fire_location]]="Apartment",Inputs!$F$12,Inputs!$F$11)</f>
        <v>60</v>
      </c>
      <c r="V113">
        <f>10+Inputs!$F$8</f>
        <v>16</v>
      </c>
      <c r="W113">
        <f>30</f>
        <v>30</v>
      </c>
      <c r="X113" t="str">
        <f>IF(event_tree[[#This Row],[ASET_scenario]]="X","extinguish",
   event_tree[[#This Row],[SOU_tdet]] + event_tree[[#This Row],[SOU_tpre]] + event_tree[[#This Row],[tnot]])</f>
        <v>extinguish</v>
      </c>
      <c r="Y113" t="str">
        <f>IF(event_tree[[#This Row],[ASET_scenario]]="X","extinguish",
   event_tree[[#This Row],[SOU_inside_RSET]] + event_tree[[#This Row],[SOU_ttrav]])</f>
        <v>extinguish</v>
      </c>
      <c r="Z11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3" t="str">
        <f>IF(event_tree[[#This Row],[ASET_scenario]]="X","extinguish", event_tree[[#This Row],[apt_ASET]]/event_tree[[#This Row],[SOU_inside_RSET]])</f>
        <v>extinguish</v>
      </c>
      <c r="AB113" t="str">
        <f>IF(event_tree[[#This Row],[ASET_scenario]]="X","extinguish",event_tree[[#This Row],[cor_ASET]]/event_tree[[#This Row],[SOU_outside_RSET]])</f>
        <v>extinguish</v>
      </c>
      <c r="AC113" t="str">
        <f>IF(event_tree[[#This Row],[ASET_scenario]]="X","extinguish",event_tree[[#This Row],[cor_ASET]]/event_tree[[#This Row],[remote_RSET]])</f>
        <v>extinguish</v>
      </c>
      <c r="AD113" t="b">
        <f>IF(OR(event_tree[[#This Row],[SOU_inside_ratio]]&lt;1,event_tree[[#This Row],[SOU_outside_ratio]]&lt;1),2)</f>
        <v>0</v>
      </c>
      <c r="AE113" t="b">
        <f>IF(event_tree[[#This Row],[remote_ratio]]&lt;1,2*(Inputs!$F$5-1))</f>
        <v>0</v>
      </c>
      <c r="AF113">
        <f>event_tree[[#This Row],[SOU_casualty]]+event_tree[[#This Row],[remote_casualty]]</f>
        <v>0</v>
      </c>
      <c r="AG113">
        <f>event_tree[[#This Row],[fire_frequency]]*event_tree[[#This Row],[probability_of_scenario]]</f>
        <v>6.9323149350000061E-6</v>
      </c>
      <c r="AH113">
        <f>event_tree[[#This Row],[total_casualty]]*event_tree[[#This Row],[fire_probability]]</f>
        <v>0</v>
      </c>
    </row>
    <row r="114" spans="1:34" x14ac:dyDescent="0.25">
      <c r="A114">
        <v>113</v>
      </c>
      <c r="B114" t="str" cm="1">
        <f t="array" ref="B11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4" t="str" cm="1">
        <f t="array" ref="C11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4" t="str" cm="1">
        <f t="array" ref="D11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4" t="str" cm="1">
        <f t="array" ref="E114">INDEX(sprinkler[sprinkler],
  1+MOD(QUOTIENT(ROW()-ROW($B$2),
     ROWS(manual_suppression[manual_suppression])*
     ROWS(door_open[door_open])*
     ROWS(smoke_seal[smoke_seal])
  ),
  ROWS(sprinkler[sprinkler]))
)</f>
        <v>Extinguish</v>
      </c>
      <c r="F114" t="str" cm="1">
        <f t="array" ref="F114">INDEX(manual_suppression[manual_suppression],
  1+MOD(QUOTIENT(ROW()-ROW($B$2),
     ROWS(door_open[door_open])*
     ROWS(smoke_seal[smoke_seal])
  ),
  ROWS(manual_suppression[manual_suppression]))
)</f>
        <v>Fail</v>
      </c>
      <c r="G114" t="str" cm="1">
        <f t="array" ref="G114">INDEX(door_open[door_open],
  1+MOD(QUOTIENT(ROW()-ROW($B$2),
     ROWS(smoke_seal[smoke_seal])
  ),
  ROWS(door_open[door_open]))
)</f>
        <v>Open</v>
      </c>
      <c r="H114" t="str" cm="1">
        <f t="array" ref="H114">INDEX(smoke_seal[smoke_seal],
  1+MOD(ROW()-ROW($B$2), ROWS(smoke_seal[smoke_seal]))
)</f>
        <v>Fail</v>
      </c>
      <c r="I114" t="str">
        <f>IF(event_tree[[#This Row],[door_open]]="Open","Open",IF(event_tree[[#This Row],[smoke_seal]]="Success","Close","Part"))</f>
        <v>Open</v>
      </c>
      <c r="J114">
        <f>IF(B114="apartment",Inputs!$I$7,Inputs!$I$6)</f>
        <v>1.2999999999999999E-3</v>
      </c>
      <c r="K114">
        <f>PRODUCT(
  INDEX(fire_location[Probability],MATCH($B114,fire_location[fire_location],0)),
  INDEX(smoke_detection_apt[Probability],MATCH($C114,smoke_detection_apt[smoke_detection_apt],0)),
  INDEX(smoke_detection_corridor[Probability],MATCH($D114,smoke_detection_corridor[smoke_detection_corridor],0)),
  INDEX(sprinkler[Probability],MATCH($E114,sprinkler[sprinkler],0)),
  INDEX(manual_suppression[Probability],MATCH($F114,manual_suppression[manual_suppression],0)),
  INDEX(door_open[Probability],MATCH($G114,door_open[door_open],0)),
  INDEX(smoke_seal[Probability],MATCH($H114,smoke_seal[smoke_seal],0))
)</f>
        <v>7.5728520000000062E-4</v>
      </c>
      <c r="L11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4" t="str">
        <f>event_tree[[#This Row],[ASET_scenario]]&amp;Inputs!$F$8</f>
        <v>X6</v>
      </c>
      <c r="N11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4" t="str">
        <f>event_tree[[#This Row],[fire_location]]&amp;Inputs!$F$8</f>
        <v>Corridor6</v>
      </c>
      <c r="Q11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4">
        <f>IF(event_tree[[#This Row],[fire_location]]="Apartment",Inputs!$F$11,Inputs!$F$12)</f>
        <v>600</v>
      </c>
      <c r="S114">
        <f>10+Inputs!$F$8</f>
        <v>16</v>
      </c>
      <c r="T11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4">
        <f>IF(event_tree[[#This Row],[fire_location]]="Apartment",Inputs!$F$12,Inputs!$F$11)</f>
        <v>60</v>
      </c>
      <c r="V114">
        <f>10+Inputs!$F$8</f>
        <v>16</v>
      </c>
      <c r="W114">
        <f>30</f>
        <v>30</v>
      </c>
      <c r="X114" t="str">
        <f>IF(event_tree[[#This Row],[ASET_scenario]]="X","extinguish",
   event_tree[[#This Row],[SOU_tdet]] + event_tree[[#This Row],[SOU_tpre]] + event_tree[[#This Row],[tnot]])</f>
        <v>extinguish</v>
      </c>
      <c r="Y114" t="str">
        <f>IF(event_tree[[#This Row],[ASET_scenario]]="X","extinguish",
   event_tree[[#This Row],[SOU_inside_RSET]] + event_tree[[#This Row],[SOU_ttrav]])</f>
        <v>extinguish</v>
      </c>
      <c r="Z11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4" t="str">
        <f>IF(event_tree[[#This Row],[ASET_scenario]]="X","extinguish", event_tree[[#This Row],[apt_ASET]]/event_tree[[#This Row],[SOU_inside_RSET]])</f>
        <v>extinguish</v>
      </c>
      <c r="AB114" t="str">
        <f>IF(event_tree[[#This Row],[ASET_scenario]]="X","extinguish",event_tree[[#This Row],[cor_ASET]]/event_tree[[#This Row],[SOU_outside_RSET]])</f>
        <v>extinguish</v>
      </c>
      <c r="AC114" t="str">
        <f>IF(event_tree[[#This Row],[ASET_scenario]]="X","extinguish",event_tree[[#This Row],[cor_ASET]]/event_tree[[#This Row],[remote_RSET]])</f>
        <v>extinguish</v>
      </c>
      <c r="AD114" t="b">
        <f>IF(OR(event_tree[[#This Row],[SOU_inside_ratio]]&lt;1,event_tree[[#This Row],[SOU_outside_ratio]]&lt;1),2)</f>
        <v>0</v>
      </c>
      <c r="AE114" t="b">
        <f>IF(event_tree[[#This Row],[remote_ratio]]&lt;1,2*(Inputs!$F$5-1))</f>
        <v>0</v>
      </c>
      <c r="AF114">
        <f>event_tree[[#This Row],[SOU_casualty]]+event_tree[[#This Row],[remote_casualty]]</f>
        <v>0</v>
      </c>
      <c r="AG114">
        <f>event_tree[[#This Row],[fire_frequency]]*event_tree[[#This Row],[probability_of_scenario]]</f>
        <v>9.8447076000000072E-7</v>
      </c>
      <c r="AH114">
        <f>event_tree[[#This Row],[total_casualty]]*event_tree[[#This Row],[fire_probability]]</f>
        <v>0</v>
      </c>
    </row>
    <row r="115" spans="1:34" x14ac:dyDescent="0.25">
      <c r="A115">
        <v>114</v>
      </c>
      <c r="B115" t="str" cm="1">
        <f t="array" ref="B11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5" t="str" cm="1">
        <f t="array" ref="C11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5" t="str" cm="1">
        <f t="array" ref="D11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5" t="str" cm="1">
        <f t="array" ref="E115">INDEX(sprinkler[sprinkler],
  1+MOD(QUOTIENT(ROW()-ROW($B$2),
     ROWS(manual_suppression[manual_suppression])*
     ROWS(door_open[door_open])*
     ROWS(smoke_seal[smoke_seal])
  ),
  ROWS(sprinkler[sprinkler]))
)</f>
        <v>Extinguish</v>
      </c>
      <c r="F115" t="str" cm="1">
        <f t="array" ref="F115">INDEX(manual_suppression[manual_suppression],
  1+MOD(QUOTIENT(ROW()-ROW($B$2),
     ROWS(door_open[door_open])*
     ROWS(smoke_seal[smoke_seal])
  ),
  ROWS(manual_suppression[manual_suppression]))
)</f>
        <v>Fail</v>
      </c>
      <c r="G115" t="str" cm="1">
        <f t="array" ref="G115">INDEX(door_open[door_open],
  1+MOD(QUOTIENT(ROW()-ROW($B$2),
     ROWS(smoke_seal[smoke_seal])
  ),
  ROWS(door_open[door_open]))
)</f>
        <v>Open</v>
      </c>
      <c r="H115" t="str" cm="1">
        <f t="array" ref="H115">INDEX(smoke_seal[smoke_seal],
  1+MOD(ROW()-ROW($B$2), ROWS(smoke_seal[smoke_seal]))
)</f>
        <v>Success</v>
      </c>
      <c r="I115" t="str">
        <f>IF(event_tree[[#This Row],[door_open]]="Open","Open",IF(event_tree[[#This Row],[smoke_seal]]="Success","Close","Part"))</f>
        <v>Open</v>
      </c>
      <c r="J115">
        <f>IF(B115="apartment",Inputs!$I$7,Inputs!$I$6)</f>
        <v>1.2999999999999999E-3</v>
      </c>
      <c r="K115">
        <f>PRODUCT(
  INDEX(fire_location[Probability],MATCH($B115,fire_location[fire_location],0)),
  INDEX(smoke_detection_apt[Probability],MATCH($C115,smoke_detection_apt[smoke_detection_apt],0)),
  INDEX(smoke_detection_corridor[Probability],MATCH($D115,smoke_detection_corridor[smoke_detection_corridor],0)),
  INDEX(sprinkler[Probability],MATCH($E115,sprinkler[sprinkler],0)),
  INDEX(manual_suppression[Probability],MATCH($F115,manual_suppression[manual_suppression],0)),
  INDEX(door_open[Probability],MATCH($G115,door_open[door_open],0)),
  INDEX(smoke_seal[Probability],MATCH($H115,smoke_seal[smoke_seal],0))
)</f>
        <v>1.4063868000000013E-3</v>
      </c>
      <c r="L11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5" t="str">
        <f>event_tree[[#This Row],[ASET_scenario]]&amp;Inputs!$F$8</f>
        <v>X6</v>
      </c>
      <c r="N11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5" t="str">
        <f>event_tree[[#This Row],[fire_location]]&amp;Inputs!$F$8</f>
        <v>Corridor6</v>
      </c>
      <c r="Q11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5">
        <f>IF(event_tree[[#This Row],[fire_location]]="Apartment",Inputs!$F$11,Inputs!$F$12)</f>
        <v>600</v>
      </c>
      <c r="S115">
        <f>10+Inputs!$F$8</f>
        <v>16</v>
      </c>
      <c r="T11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5">
        <f>IF(event_tree[[#This Row],[fire_location]]="Apartment",Inputs!$F$12,Inputs!$F$11)</f>
        <v>60</v>
      </c>
      <c r="V115">
        <f>10+Inputs!$F$8</f>
        <v>16</v>
      </c>
      <c r="W115">
        <f>30</f>
        <v>30</v>
      </c>
      <c r="X115" t="str">
        <f>IF(event_tree[[#This Row],[ASET_scenario]]="X","extinguish",
   event_tree[[#This Row],[SOU_tdet]] + event_tree[[#This Row],[SOU_tpre]] + event_tree[[#This Row],[tnot]])</f>
        <v>extinguish</v>
      </c>
      <c r="Y115" t="str">
        <f>IF(event_tree[[#This Row],[ASET_scenario]]="X","extinguish",
   event_tree[[#This Row],[SOU_inside_RSET]] + event_tree[[#This Row],[SOU_ttrav]])</f>
        <v>extinguish</v>
      </c>
      <c r="Z11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5" t="str">
        <f>IF(event_tree[[#This Row],[ASET_scenario]]="X","extinguish", event_tree[[#This Row],[apt_ASET]]/event_tree[[#This Row],[SOU_inside_RSET]])</f>
        <v>extinguish</v>
      </c>
      <c r="AB115" t="str">
        <f>IF(event_tree[[#This Row],[ASET_scenario]]="X","extinguish",event_tree[[#This Row],[cor_ASET]]/event_tree[[#This Row],[SOU_outside_RSET]])</f>
        <v>extinguish</v>
      </c>
      <c r="AC115" t="str">
        <f>IF(event_tree[[#This Row],[ASET_scenario]]="X","extinguish",event_tree[[#This Row],[cor_ASET]]/event_tree[[#This Row],[remote_RSET]])</f>
        <v>extinguish</v>
      </c>
      <c r="AD115" t="b">
        <f>IF(OR(event_tree[[#This Row],[SOU_inside_ratio]]&lt;1,event_tree[[#This Row],[SOU_outside_ratio]]&lt;1),2)</f>
        <v>0</v>
      </c>
      <c r="AE115" t="b">
        <f>IF(event_tree[[#This Row],[remote_ratio]]&lt;1,2*(Inputs!$F$5-1))</f>
        <v>0</v>
      </c>
      <c r="AF115">
        <f>event_tree[[#This Row],[SOU_casualty]]+event_tree[[#This Row],[remote_casualty]]</f>
        <v>0</v>
      </c>
      <c r="AG115">
        <f>event_tree[[#This Row],[fire_frequency]]*event_tree[[#This Row],[probability_of_scenario]]</f>
        <v>1.8283028400000015E-6</v>
      </c>
      <c r="AH115">
        <f>event_tree[[#This Row],[total_casualty]]*event_tree[[#This Row],[fire_probability]]</f>
        <v>0</v>
      </c>
    </row>
    <row r="116" spans="1:34" x14ac:dyDescent="0.25">
      <c r="A116">
        <v>115</v>
      </c>
      <c r="B116" t="str" cm="1">
        <f t="array" ref="B11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6" t="str" cm="1">
        <f t="array" ref="C11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6" t="str" cm="1">
        <f t="array" ref="D11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6" t="str" cm="1">
        <f t="array" ref="E116">INDEX(sprinkler[sprinkler],
  1+MOD(QUOTIENT(ROW()-ROW($B$2),
     ROWS(manual_suppression[manual_suppression])*
     ROWS(door_open[door_open])*
     ROWS(smoke_seal[smoke_seal])
  ),
  ROWS(sprinkler[sprinkler]))
)</f>
        <v>Extinguish</v>
      </c>
      <c r="F116" t="str" cm="1">
        <f t="array" ref="F116">INDEX(manual_suppression[manual_suppression],
  1+MOD(QUOTIENT(ROW()-ROW($B$2),
     ROWS(door_open[door_open])*
     ROWS(smoke_seal[smoke_seal])
  ),
  ROWS(manual_suppression[manual_suppression]))
)</f>
        <v>Fail</v>
      </c>
      <c r="G116" t="str" cm="1">
        <f t="array" ref="G116">INDEX(door_open[door_open],
  1+MOD(QUOTIENT(ROW()-ROW($B$2),
     ROWS(smoke_seal[smoke_seal])
  ),
  ROWS(door_open[door_open]))
)</f>
        <v>Closed</v>
      </c>
      <c r="H116" t="str" cm="1">
        <f t="array" ref="H116">INDEX(smoke_seal[smoke_seal],
  1+MOD(ROW()-ROW($B$2), ROWS(smoke_seal[smoke_seal]))
)</f>
        <v>Fail</v>
      </c>
      <c r="I116" t="str">
        <f>IF(event_tree[[#This Row],[door_open]]="Open","Open",IF(event_tree[[#This Row],[smoke_seal]]="Success","Close","Part"))</f>
        <v>Part</v>
      </c>
      <c r="J116">
        <f>IF(B116="apartment",Inputs!$I$7,Inputs!$I$6)</f>
        <v>1.2999999999999999E-3</v>
      </c>
      <c r="K116">
        <f>PRODUCT(
  INDEX(fire_location[Probability],MATCH($B116,fire_location[fire_location],0)),
  INDEX(smoke_detection_apt[Probability],MATCH($C116,smoke_detection_apt[smoke_detection_apt],0)),
  INDEX(smoke_detection_corridor[Probability],MATCH($D116,smoke_detection_corridor[smoke_detection_corridor],0)),
  INDEX(sprinkler[Probability],MATCH($E116,sprinkler[sprinkler],0)),
  INDEX(manual_suppression[Probability],MATCH($F116,manual_suppression[manual_suppression],0)),
  INDEX(door_open[Probability],MATCH($G116,door_open[door_open],0)),
  INDEX(smoke_seal[Probability],MATCH($H116,smoke_seal[smoke_seal],0))
)</f>
        <v>1.7669988000000012E-3</v>
      </c>
      <c r="L11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6" t="str">
        <f>event_tree[[#This Row],[ASET_scenario]]&amp;Inputs!$F$8</f>
        <v>X6</v>
      </c>
      <c r="N11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6" t="str">
        <f>event_tree[[#This Row],[fire_location]]&amp;Inputs!$F$8</f>
        <v>Corridor6</v>
      </c>
      <c r="Q11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6">
        <f>IF(event_tree[[#This Row],[fire_location]]="Apartment",Inputs!$F$11,Inputs!$F$12)</f>
        <v>600</v>
      </c>
      <c r="S116">
        <f>10+Inputs!$F$8</f>
        <v>16</v>
      </c>
      <c r="T11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6">
        <f>IF(event_tree[[#This Row],[fire_location]]="Apartment",Inputs!$F$12,Inputs!$F$11)</f>
        <v>60</v>
      </c>
      <c r="V116">
        <f>10+Inputs!$F$8</f>
        <v>16</v>
      </c>
      <c r="W116">
        <f>30</f>
        <v>30</v>
      </c>
      <c r="X116" t="str">
        <f>IF(event_tree[[#This Row],[ASET_scenario]]="X","extinguish",
   event_tree[[#This Row],[SOU_tdet]] + event_tree[[#This Row],[SOU_tpre]] + event_tree[[#This Row],[tnot]])</f>
        <v>extinguish</v>
      </c>
      <c r="Y116" t="str">
        <f>IF(event_tree[[#This Row],[ASET_scenario]]="X","extinguish",
   event_tree[[#This Row],[SOU_inside_RSET]] + event_tree[[#This Row],[SOU_ttrav]])</f>
        <v>extinguish</v>
      </c>
      <c r="Z11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6" t="str">
        <f>IF(event_tree[[#This Row],[ASET_scenario]]="X","extinguish", event_tree[[#This Row],[apt_ASET]]/event_tree[[#This Row],[SOU_inside_RSET]])</f>
        <v>extinguish</v>
      </c>
      <c r="AB116" t="str">
        <f>IF(event_tree[[#This Row],[ASET_scenario]]="X","extinguish",event_tree[[#This Row],[cor_ASET]]/event_tree[[#This Row],[SOU_outside_RSET]])</f>
        <v>extinguish</v>
      </c>
      <c r="AC116" t="str">
        <f>IF(event_tree[[#This Row],[ASET_scenario]]="X","extinguish",event_tree[[#This Row],[cor_ASET]]/event_tree[[#This Row],[remote_RSET]])</f>
        <v>extinguish</v>
      </c>
      <c r="AD116" t="b">
        <f>IF(OR(event_tree[[#This Row],[SOU_inside_ratio]]&lt;1,event_tree[[#This Row],[SOU_outside_ratio]]&lt;1),2)</f>
        <v>0</v>
      </c>
      <c r="AE116" t="b">
        <f>IF(event_tree[[#This Row],[remote_ratio]]&lt;1,2*(Inputs!$F$5-1))</f>
        <v>0</v>
      </c>
      <c r="AF116">
        <f>event_tree[[#This Row],[SOU_casualty]]+event_tree[[#This Row],[remote_casualty]]</f>
        <v>0</v>
      </c>
      <c r="AG116">
        <f>event_tree[[#This Row],[fire_frequency]]*event_tree[[#This Row],[probability_of_scenario]]</f>
        <v>2.2970984400000015E-6</v>
      </c>
      <c r="AH116">
        <f>event_tree[[#This Row],[total_casualty]]*event_tree[[#This Row],[fire_probability]]</f>
        <v>0</v>
      </c>
    </row>
    <row r="117" spans="1:34" x14ac:dyDescent="0.25">
      <c r="A117">
        <v>116</v>
      </c>
      <c r="B117" t="str" cm="1">
        <f t="array" ref="B11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7" t="str" cm="1">
        <f t="array" ref="C11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7" t="str" cm="1">
        <f t="array" ref="D11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7" t="str" cm="1">
        <f t="array" ref="E117">INDEX(sprinkler[sprinkler],
  1+MOD(QUOTIENT(ROW()-ROW($B$2),
     ROWS(manual_suppression[manual_suppression])*
     ROWS(door_open[door_open])*
     ROWS(smoke_seal[smoke_seal])
  ),
  ROWS(sprinkler[sprinkler]))
)</f>
        <v>Extinguish</v>
      </c>
      <c r="F117" t="str" cm="1">
        <f t="array" ref="F117">INDEX(manual_suppression[manual_suppression],
  1+MOD(QUOTIENT(ROW()-ROW($B$2),
     ROWS(door_open[door_open])*
     ROWS(smoke_seal[smoke_seal])
  ),
  ROWS(manual_suppression[manual_suppression]))
)</f>
        <v>Fail</v>
      </c>
      <c r="G117" t="str" cm="1">
        <f t="array" ref="G117">INDEX(door_open[door_open],
  1+MOD(QUOTIENT(ROW()-ROW($B$2),
     ROWS(smoke_seal[smoke_seal])
  ),
  ROWS(door_open[door_open]))
)</f>
        <v>Closed</v>
      </c>
      <c r="H117" t="str" cm="1">
        <f t="array" ref="H117">INDEX(smoke_seal[smoke_seal],
  1+MOD(ROW()-ROW($B$2), ROWS(smoke_seal[smoke_seal]))
)</f>
        <v>Success</v>
      </c>
      <c r="I117" t="str">
        <f>IF(event_tree[[#This Row],[door_open]]="Open","Open",IF(event_tree[[#This Row],[smoke_seal]]="Success","Close","Part"))</f>
        <v>Close</v>
      </c>
      <c r="J117">
        <f>IF(B117="apartment",Inputs!$I$7,Inputs!$I$6)</f>
        <v>1.2999999999999999E-3</v>
      </c>
      <c r="K117">
        <f>PRODUCT(
  INDEX(fire_location[Probability],MATCH($B117,fire_location[fire_location],0)),
  INDEX(smoke_detection_apt[Probability],MATCH($C117,smoke_detection_apt[smoke_detection_apt],0)),
  INDEX(smoke_detection_corridor[Probability],MATCH($D117,smoke_detection_corridor[smoke_detection_corridor],0)),
  INDEX(sprinkler[Probability],MATCH($E117,sprinkler[sprinkler],0)),
  INDEX(manual_suppression[Probability],MATCH($F117,manual_suppression[manual_suppression],0)),
  INDEX(door_open[Probability],MATCH($G117,door_open[door_open],0)),
  INDEX(smoke_seal[Probability],MATCH($H117,smoke_seal[smoke_seal],0))
)</f>
        <v>3.2815692000000029E-3</v>
      </c>
      <c r="L11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7" t="str">
        <f>event_tree[[#This Row],[ASET_scenario]]&amp;Inputs!$F$8</f>
        <v>X6</v>
      </c>
      <c r="N11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7" t="str">
        <f>event_tree[[#This Row],[fire_location]]&amp;Inputs!$F$8</f>
        <v>Corridor6</v>
      </c>
      <c r="Q11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7">
        <f>IF(event_tree[[#This Row],[fire_location]]="Apartment",Inputs!$F$11,Inputs!$F$12)</f>
        <v>600</v>
      </c>
      <c r="S117">
        <f>10+Inputs!$F$8</f>
        <v>16</v>
      </c>
      <c r="T11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7">
        <f>IF(event_tree[[#This Row],[fire_location]]="Apartment",Inputs!$F$12,Inputs!$F$11)</f>
        <v>60</v>
      </c>
      <c r="V117">
        <f>10+Inputs!$F$8</f>
        <v>16</v>
      </c>
      <c r="W117">
        <f>30</f>
        <v>30</v>
      </c>
      <c r="X117" t="str">
        <f>IF(event_tree[[#This Row],[ASET_scenario]]="X","extinguish",
   event_tree[[#This Row],[SOU_tdet]] + event_tree[[#This Row],[SOU_tpre]] + event_tree[[#This Row],[tnot]])</f>
        <v>extinguish</v>
      </c>
      <c r="Y117" t="str">
        <f>IF(event_tree[[#This Row],[ASET_scenario]]="X","extinguish",
   event_tree[[#This Row],[SOU_inside_RSET]] + event_tree[[#This Row],[SOU_ttrav]])</f>
        <v>extinguish</v>
      </c>
      <c r="Z11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7" t="str">
        <f>IF(event_tree[[#This Row],[ASET_scenario]]="X","extinguish", event_tree[[#This Row],[apt_ASET]]/event_tree[[#This Row],[SOU_inside_RSET]])</f>
        <v>extinguish</v>
      </c>
      <c r="AB117" t="str">
        <f>IF(event_tree[[#This Row],[ASET_scenario]]="X","extinguish",event_tree[[#This Row],[cor_ASET]]/event_tree[[#This Row],[SOU_outside_RSET]])</f>
        <v>extinguish</v>
      </c>
      <c r="AC117" t="str">
        <f>IF(event_tree[[#This Row],[ASET_scenario]]="X","extinguish",event_tree[[#This Row],[cor_ASET]]/event_tree[[#This Row],[remote_RSET]])</f>
        <v>extinguish</v>
      </c>
      <c r="AD117" t="b">
        <f>IF(OR(event_tree[[#This Row],[SOU_inside_ratio]]&lt;1,event_tree[[#This Row],[SOU_outside_ratio]]&lt;1),2)</f>
        <v>0</v>
      </c>
      <c r="AE117" t="b">
        <f>IF(event_tree[[#This Row],[remote_ratio]]&lt;1,2*(Inputs!$F$5-1))</f>
        <v>0</v>
      </c>
      <c r="AF117">
        <f>event_tree[[#This Row],[SOU_casualty]]+event_tree[[#This Row],[remote_casualty]]</f>
        <v>0</v>
      </c>
      <c r="AG117">
        <f>event_tree[[#This Row],[fire_frequency]]*event_tree[[#This Row],[probability_of_scenario]]</f>
        <v>4.2660399600000038E-6</v>
      </c>
      <c r="AH117">
        <f>event_tree[[#This Row],[total_casualty]]*event_tree[[#This Row],[fire_probability]]</f>
        <v>0</v>
      </c>
    </row>
    <row r="118" spans="1:34" x14ac:dyDescent="0.25">
      <c r="A118">
        <v>117</v>
      </c>
      <c r="B118" t="str" cm="1">
        <f t="array" ref="B11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8" t="str" cm="1">
        <f t="array" ref="C11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8" t="str" cm="1">
        <f t="array" ref="D11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8" t="str" cm="1">
        <f t="array" ref="E118">INDEX(sprinkler[sprinkler],
  1+MOD(QUOTIENT(ROW()-ROW($B$2),
     ROWS(manual_suppression[manual_suppression])*
     ROWS(door_open[door_open])*
     ROWS(smoke_seal[smoke_seal])
  ),
  ROWS(sprinkler[sprinkler]))
)</f>
        <v>Extinguish</v>
      </c>
      <c r="F118" t="str" cm="1">
        <f t="array" ref="F118">INDEX(manual_suppression[manual_suppression],
  1+MOD(QUOTIENT(ROW()-ROW($B$2),
     ROWS(door_open[door_open])*
     ROWS(smoke_seal[smoke_seal])
  ),
  ROWS(manual_suppression[manual_suppression]))
)</f>
        <v>Suppress</v>
      </c>
      <c r="G118" t="str" cm="1">
        <f t="array" ref="G118">INDEX(door_open[door_open],
  1+MOD(QUOTIENT(ROW()-ROW($B$2),
     ROWS(smoke_seal[smoke_seal])
  ),
  ROWS(door_open[door_open]))
)</f>
        <v>Open</v>
      </c>
      <c r="H118" t="str" cm="1">
        <f t="array" ref="H118">INDEX(smoke_seal[smoke_seal],
  1+MOD(ROW()-ROW($B$2), ROWS(smoke_seal[smoke_seal]))
)</f>
        <v>Fail</v>
      </c>
      <c r="I118" t="str">
        <f>IF(event_tree[[#This Row],[door_open]]="Open","Open",IF(event_tree[[#This Row],[smoke_seal]]="Success","Close","Part"))</f>
        <v>Open</v>
      </c>
      <c r="J118">
        <f>IF(B118="apartment",Inputs!$I$7,Inputs!$I$6)</f>
        <v>1.2999999999999999E-3</v>
      </c>
      <c r="K118">
        <f>PRODUCT(
  INDEX(fire_location[Probability],MATCH($B118,fire_location[fire_location],0)),
  INDEX(smoke_detection_apt[Probability],MATCH($C118,smoke_detection_apt[smoke_detection_apt],0)),
  INDEX(smoke_detection_corridor[Probability],MATCH($D118,smoke_detection_corridor[smoke_detection_corridor],0)),
  INDEX(sprinkler[Probability],MATCH($E118,sprinkler[sprinkler],0)),
  INDEX(manual_suppression[Probability],MATCH($F118,manual_suppression[manual_suppression],0)),
  INDEX(door_open[Probability],MATCH($G118,door_open[door_open],0)),
  INDEX(smoke_seal[Probability],MATCH($H118,smoke_seal[smoke_seal],0))
)</f>
        <v>1.4063868000000013E-3</v>
      </c>
      <c r="L11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8" t="str">
        <f>event_tree[[#This Row],[ASET_scenario]]&amp;Inputs!$F$8</f>
        <v>X6</v>
      </c>
      <c r="N11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8" t="str">
        <f>event_tree[[#This Row],[fire_location]]&amp;Inputs!$F$8</f>
        <v>Corridor6</v>
      </c>
      <c r="Q11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8">
        <f>IF(event_tree[[#This Row],[fire_location]]="Apartment",Inputs!$F$11,Inputs!$F$12)</f>
        <v>600</v>
      </c>
      <c r="S118">
        <f>10+Inputs!$F$8</f>
        <v>16</v>
      </c>
      <c r="T11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8">
        <f>IF(event_tree[[#This Row],[fire_location]]="Apartment",Inputs!$F$12,Inputs!$F$11)</f>
        <v>60</v>
      </c>
      <c r="V118">
        <f>10+Inputs!$F$8</f>
        <v>16</v>
      </c>
      <c r="W118">
        <f>30</f>
        <v>30</v>
      </c>
      <c r="X118" t="str">
        <f>IF(event_tree[[#This Row],[ASET_scenario]]="X","extinguish",
   event_tree[[#This Row],[SOU_tdet]] + event_tree[[#This Row],[SOU_tpre]] + event_tree[[#This Row],[tnot]])</f>
        <v>extinguish</v>
      </c>
      <c r="Y118" t="str">
        <f>IF(event_tree[[#This Row],[ASET_scenario]]="X","extinguish",
   event_tree[[#This Row],[SOU_inside_RSET]] + event_tree[[#This Row],[SOU_ttrav]])</f>
        <v>extinguish</v>
      </c>
      <c r="Z11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8" t="str">
        <f>IF(event_tree[[#This Row],[ASET_scenario]]="X","extinguish", event_tree[[#This Row],[apt_ASET]]/event_tree[[#This Row],[SOU_inside_RSET]])</f>
        <v>extinguish</v>
      </c>
      <c r="AB118" t="str">
        <f>IF(event_tree[[#This Row],[ASET_scenario]]="X","extinguish",event_tree[[#This Row],[cor_ASET]]/event_tree[[#This Row],[SOU_outside_RSET]])</f>
        <v>extinguish</v>
      </c>
      <c r="AC118" t="str">
        <f>IF(event_tree[[#This Row],[ASET_scenario]]="X","extinguish",event_tree[[#This Row],[cor_ASET]]/event_tree[[#This Row],[remote_RSET]])</f>
        <v>extinguish</v>
      </c>
      <c r="AD118" t="b">
        <f>IF(OR(event_tree[[#This Row],[SOU_inside_ratio]]&lt;1,event_tree[[#This Row],[SOU_outside_ratio]]&lt;1),2)</f>
        <v>0</v>
      </c>
      <c r="AE118" t="b">
        <f>IF(event_tree[[#This Row],[remote_ratio]]&lt;1,2*(Inputs!$F$5-1))</f>
        <v>0</v>
      </c>
      <c r="AF118">
        <f>event_tree[[#This Row],[SOU_casualty]]+event_tree[[#This Row],[remote_casualty]]</f>
        <v>0</v>
      </c>
      <c r="AG118">
        <f>event_tree[[#This Row],[fire_frequency]]*event_tree[[#This Row],[probability_of_scenario]]</f>
        <v>1.8283028400000015E-6</v>
      </c>
      <c r="AH118">
        <f>event_tree[[#This Row],[total_casualty]]*event_tree[[#This Row],[fire_probability]]</f>
        <v>0</v>
      </c>
    </row>
    <row r="119" spans="1:34" x14ac:dyDescent="0.25">
      <c r="A119">
        <v>118</v>
      </c>
      <c r="B119" t="str" cm="1">
        <f t="array" ref="B11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19" t="str" cm="1">
        <f t="array" ref="C11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19" t="str" cm="1">
        <f t="array" ref="D11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19" t="str" cm="1">
        <f t="array" ref="E119">INDEX(sprinkler[sprinkler],
  1+MOD(QUOTIENT(ROW()-ROW($B$2),
     ROWS(manual_suppression[manual_suppression])*
     ROWS(door_open[door_open])*
     ROWS(smoke_seal[smoke_seal])
  ),
  ROWS(sprinkler[sprinkler]))
)</f>
        <v>Extinguish</v>
      </c>
      <c r="F119" t="str" cm="1">
        <f t="array" ref="F119">INDEX(manual_suppression[manual_suppression],
  1+MOD(QUOTIENT(ROW()-ROW($B$2),
     ROWS(door_open[door_open])*
     ROWS(smoke_seal[smoke_seal])
  ),
  ROWS(manual_suppression[manual_suppression]))
)</f>
        <v>Suppress</v>
      </c>
      <c r="G119" t="str" cm="1">
        <f t="array" ref="G119">INDEX(door_open[door_open],
  1+MOD(QUOTIENT(ROW()-ROW($B$2),
     ROWS(smoke_seal[smoke_seal])
  ),
  ROWS(door_open[door_open]))
)</f>
        <v>Open</v>
      </c>
      <c r="H119" t="str" cm="1">
        <f t="array" ref="H119">INDEX(smoke_seal[smoke_seal],
  1+MOD(ROW()-ROW($B$2), ROWS(smoke_seal[smoke_seal]))
)</f>
        <v>Success</v>
      </c>
      <c r="I119" t="str">
        <f>IF(event_tree[[#This Row],[door_open]]="Open","Open",IF(event_tree[[#This Row],[smoke_seal]]="Success","Close","Part"))</f>
        <v>Open</v>
      </c>
      <c r="J119">
        <f>IF(B119="apartment",Inputs!$I$7,Inputs!$I$6)</f>
        <v>1.2999999999999999E-3</v>
      </c>
      <c r="K119">
        <f>PRODUCT(
  INDEX(fire_location[Probability],MATCH($B119,fire_location[fire_location],0)),
  INDEX(smoke_detection_apt[Probability],MATCH($C119,smoke_detection_apt[smoke_detection_apt],0)),
  INDEX(smoke_detection_corridor[Probability],MATCH($D119,smoke_detection_corridor[smoke_detection_corridor],0)),
  INDEX(sprinkler[Probability],MATCH($E119,sprinkler[sprinkler],0)),
  INDEX(manual_suppression[Probability],MATCH($F119,manual_suppression[manual_suppression],0)),
  INDEX(door_open[Probability],MATCH($G119,door_open[door_open],0)),
  INDEX(smoke_seal[Probability],MATCH($H119,smoke_seal[smoke_seal],0))
)</f>
        <v>2.6118612000000027E-3</v>
      </c>
      <c r="L11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19" t="str">
        <f>event_tree[[#This Row],[ASET_scenario]]&amp;Inputs!$F$8</f>
        <v>X6</v>
      </c>
      <c r="N11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1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19" t="str">
        <f>event_tree[[#This Row],[fire_location]]&amp;Inputs!$F$8</f>
        <v>Corridor6</v>
      </c>
      <c r="Q11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19">
        <f>IF(event_tree[[#This Row],[fire_location]]="Apartment",Inputs!$F$11,Inputs!$F$12)</f>
        <v>600</v>
      </c>
      <c r="S119">
        <f>10+Inputs!$F$8</f>
        <v>16</v>
      </c>
      <c r="T11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19">
        <f>IF(event_tree[[#This Row],[fire_location]]="Apartment",Inputs!$F$12,Inputs!$F$11)</f>
        <v>60</v>
      </c>
      <c r="V119">
        <f>10+Inputs!$F$8</f>
        <v>16</v>
      </c>
      <c r="W119">
        <f>30</f>
        <v>30</v>
      </c>
      <c r="X119" t="str">
        <f>IF(event_tree[[#This Row],[ASET_scenario]]="X","extinguish",
   event_tree[[#This Row],[SOU_tdet]] + event_tree[[#This Row],[SOU_tpre]] + event_tree[[#This Row],[tnot]])</f>
        <v>extinguish</v>
      </c>
      <c r="Y119" t="str">
        <f>IF(event_tree[[#This Row],[ASET_scenario]]="X","extinguish",
   event_tree[[#This Row],[SOU_inside_RSET]] + event_tree[[#This Row],[SOU_ttrav]])</f>
        <v>extinguish</v>
      </c>
      <c r="Z11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19" t="str">
        <f>IF(event_tree[[#This Row],[ASET_scenario]]="X","extinguish", event_tree[[#This Row],[apt_ASET]]/event_tree[[#This Row],[SOU_inside_RSET]])</f>
        <v>extinguish</v>
      </c>
      <c r="AB119" t="str">
        <f>IF(event_tree[[#This Row],[ASET_scenario]]="X","extinguish",event_tree[[#This Row],[cor_ASET]]/event_tree[[#This Row],[SOU_outside_RSET]])</f>
        <v>extinguish</v>
      </c>
      <c r="AC119" t="str">
        <f>IF(event_tree[[#This Row],[ASET_scenario]]="X","extinguish",event_tree[[#This Row],[cor_ASET]]/event_tree[[#This Row],[remote_RSET]])</f>
        <v>extinguish</v>
      </c>
      <c r="AD119" t="b">
        <f>IF(OR(event_tree[[#This Row],[SOU_inside_ratio]]&lt;1,event_tree[[#This Row],[SOU_outside_ratio]]&lt;1),2)</f>
        <v>0</v>
      </c>
      <c r="AE119" t="b">
        <f>IF(event_tree[[#This Row],[remote_ratio]]&lt;1,2*(Inputs!$F$5-1))</f>
        <v>0</v>
      </c>
      <c r="AF119">
        <f>event_tree[[#This Row],[SOU_casualty]]+event_tree[[#This Row],[remote_casualty]]</f>
        <v>0</v>
      </c>
      <c r="AG119">
        <f>event_tree[[#This Row],[fire_frequency]]*event_tree[[#This Row],[probability_of_scenario]]</f>
        <v>3.3954195600000033E-6</v>
      </c>
      <c r="AH119">
        <f>event_tree[[#This Row],[total_casualty]]*event_tree[[#This Row],[fire_probability]]</f>
        <v>0</v>
      </c>
    </row>
    <row r="120" spans="1:34" x14ac:dyDescent="0.25">
      <c r="A120">
        <v>119</v>
      </c>
      <c r="B120" t="str" cm="1">
        <f t="array" ref="B12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0" t="str" cm="1">
        <f t="array" ref="C12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0" t="str" cm="1">
        <f t="array" ref="D12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20" t="str" cm="1">
        <f t="array" ref="E120">INDEX(sprinkler[sprinkler],
  1+MOD(QUOTIENT(ROW()-ROW($B$2),
     ROWS(manual_suppression[manual_suppression])*
     ROWS(door_open[door_open])*
     ROWS(smoke_seal[smoke_seal])
  ),
  ROWS(sprinkler[sprinkler]))
)</f>
        <v>Extinguish</v>
      </c>
      <c r="F120" t="str" cm="1">
        <f t="array" ref="F120">INDEX(manual_suppression[manual_suppression],
  1+MOD(QUOTIENT(ROW()-ROW($B$2),
     ROWS(door_open[door_open])*
     ROWS(smoke_seal[smoke_seal])
  ),
  ROWS(manual_suppression[manual_suppression]))
)</f>
        <v>Suppress</v>
      </c>
      <c r="G120" t="str" cm="1">
        <f t="array" ref="G120">INDEX(door_open[door_open],
  1+MOD(QUOTIENT(ROW()-ROW($B$2),
     ROWS(smoke_seal[smoke_seal])
  ),
  ROWS(door_open[door_open]))
)</f>
        <v>Closed</v>
      </c>
      <c r="H120" t="str" cm="1">
        <f t="array" ref="H120">INDEX(smoke_seal[smoke_seal],
  1+MOD(ROW()-ROW($B$2), ROWS(smoke_seal[smoke_seal]))
)</f>
        <v>Fail</v>
      </c>
      <c r="I120" t="str">
        <f>IF(event_tree[[#This Row],[door_open]]="Open","Open",IF(event_tree[[#This Row],[smoke_seal]]="Success","Close","Part"))</f>
        <v>Part</v>
      </c>
      <c r="J120">
        <f>IF(B120="apartment",Inputs!$I$7,Inputs!$I$6)</f>
        <v>1.2999999999999999E-3</v>
      </c>
      <c r="K120">
        <f>PRODUCT(
  INDEX(fire_location[Probability],MATCH($B120,fire_location[fire_location],0)),
  INDEX(smoke_detection_apt[Probability],MATCH($C120,smoke_detection_apt[smoke_detection_apt],0)),
  INDEX(smoke_detection_corridor[Probability],MATCH($D120,smoke_detection_corridor[smoke_detection_corridor],0)),
  INDEX(sprinkler[Probability],MATCH($E120,sprinkler[sprinkler],0)),
  INDEX(manual_suppression[Probability],MATCH($F120,manual_suppression[manual_suppression],0)),
  INDEX(door_open[Probability],MATCH($G120,door_open[door_open],0)),
  INDEX(smoke_seal[Probability],MATCH($H120,smoke_seal[smoke_seal],0))
)</f>
        <v>3.2815692000000029E-3</v>
      </c>
      <c r="L12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20" t="str">
        <f>event_tree[[#This Row],[ASET_scenario]]&amp;Inputs!$F$8</f>
        <v>X6</v>
      </c>
      <c r="N12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2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20" t="str">
        <f>event_tree[[#This Row],[fire_location]]&amp;Inputs!$F$8</f>
        <v>Corridor6</v>
      </c>
      <c r="Q12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20">
        <f>IF(event_tree[[#This Row],[fire_location]]="Apartment",Inputs!$F$11,Inputs!$F$12)</f>
        <v>600</v>
      </c>
      <c r="S120">
        <f>10+Inputs!$F$8</f>
        <v>16</v>
      </c>
      <c r="T12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20">
        <f>IF(event_tree[[#This Row],[fire_location]]="Apartment",Inputs!$F$12,Inputs!$F$11)</f>
        <v>60</v>
      </c>
      <c r="V120">
        <f>10+Inputs!$F$8</f>
        <v>16</v>
      </c>
      <c r="W120">
        <f>30</f>
        <v>30</v>
      </c>
      <c r="X120" t="str">
        <f>IF(event_tree[[#This Row],[ASET_scenario]]="X","extinguish",
   event_tree[[#This Row],[SOU_tdet]] + event_tree[[#This Row],[SOU_tpre]] + event_tree[[#This Row],[tnot]])</f>
        <v>extinguish</v>
      </c>
      <c r="Y120" t="str">
        <f>IF(event_tree[[#This Row],[ASET_scenario]]="X","extinguish",
   event_tree[[#This Row],[SOU_inside_RSET]] + event_tree[[#This Row],[SOU_ttrav]])</f>
        <v>extinguish</v>
      </c>
      <c r="Z12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20" t="str">
        <f>IF(event_tree[[#This Row],[ASET_scenario]]="X","extinguish", event_tree[[#This Row],[apt_ASET]]/event_tree[[#This Row],[SOU_inside_RSET]])</f>
        <v>extinguish</v>
      </c>
      <c r="AB120" t="str">
        <f>IF(event_tree[[#This Row],[ASET_scenario]]="X","extinguish",event_tree[[#This Row],[cor_ASET]]/event_tree[[#This Row],[SOU_outside_RSET]])</f>
        <v>extinguish</v>
      </c>
      <c r="AC120" t="str">
        <f>IF(event_tree[[#This Row],[ASET_scenario]]="X","extinguish",event_tree[[#This Row],[cor_ASET]]/event_tree[[#This Row],[remote_RSET]])</f>
        <v>extinguish</v>
      </c>
      <c r="AD120" t="b">
        <f>IF(OR(event_tree[[#This Row],[SOU_inside_ratio]]&lt;1,event_tree[[#This Row],[SOU_outside_ratio]]&lt;1),2)</f>
        <v>0</v>
      </c>
      <c r="AE120" t="b">
        <f>IF(event_tree[[#This Row],[remote_ratio]]&lt;1,2*(Inputs!$F$5-1))</f>
        <v>0</v>
      </c>
      <c r="AF120">
        <f>event_tree[[#This Row],[SOU_casualty]]+event_tree[[#This Row],[remote_casualty]]</f>
        <v>0</v>
      </c>
      <c r="AG120">
        <f>event_tree[[#This Row],[fire_frequency]]*event_tree[[#This Row],[probability_of_scenario]]</f>
        <v>4.2660399600000038E-6</v>
      </c>
      <c r="AH120">
        <f>event_tree[[#This Row],[total_casualty]]*event_tree[[#This Row],[fire_probability]]</f>
        <v>0</v>
      </c>
    </row>
    <row r="121" spans="1:34" x14ac:dyDescent="0.25">
      <c r="A121">
        <v>120</v>
      </c>
      <c r="B121" t="str" cm="1">
        <f t="array" ref="B12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1" t="str" cm="1">
        <f t="array" ref="C12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1" t="str" cm="1">
        <f t="array" ref="D12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21" t="str" cm="1">
        <f t="array" ref="E121">INDEX(sprinkler[sprinkler],
  1+MOD(QUOTIENT(ROW()-ROW($B$2),
     ROWS(manual_suppression[manual_suppression])*
     ROWS(door_open[door_open])*
     ROWS(smoke_seal[smoke_seal])
  ),
  ROWS(sprinkler[sprinkler]))
)</f>
        <v>Extinguish</v>
      </c>
      <c r="F121" t="str" cm="1">
        <f t="array" ref="F121">INDEX(manual_suppression[manual_suppression],
  1+MOD(QUOTIENT(ROW()-ROW($B$2),
     ROWS(door_open[door_open])*
     ROWS(smoke_seal[smoke_seal])
  ),
  ROWS(manual_suppression[manual_suppression]))
)</f>
        <v>Suppress</v>
      </c>
      <c r="G121" t="str" cm="1">
        <f t="array" ref="G121">INDEX(door_open[door_open],
  1+MOD(QUOTIENT(ROW()-ROW($B$2),
     ROWS(smoke_seal[smoke_seal])
  ),
  ROWS(door_open[door_open]))
)</f>
        <v>Closed</v>
      </c>
      <c r="H121" t="str" cm="1">
        <f t="array" ref="H121">INDEX(smoke_seal[smoke_seal],
  1+MOD(ROW()-ROW($B$2), ROWS(smoke_seal[smoke_seal]))
)</f>
        <v>Success</v>
      </c>
      <c r="I121" t="str">
        <f>IF(event_tree[[#This Row],[door_open]]="Open","Open",IF(event_tree[[#This Row],[smoke_seal]]="Success","Close","Part"))</f>
        <v>Close</v>
      </c>
      <c r="J121">
        <f>IF(B121="apartment",Inputs!$I$7,Inputs!$I$6)</f>
        <v>1.2999999999999999E-3</v>
      </c>
      <c r="K121">
        <f>PRODUCT(
  INDEX(fire_location[Probability],MATCH($B121,fire_location[fire_location],0)),
  INDEX(smoke_detection_apt[Probability],MATCH($C121,smoke_detection_apt[smoke_detection_apt],0)),
  INDEX(smoke_detection_corridor[Probability],MATCH($D121,smoke_detection_corridor[smoke_detection_corridor],0)),
  INDEX(sprinkler[Probability],MATCH($E121,sprinkler[sprinkler],0)),
  INDEX(manual_suppression[Probability],MATCH($F121,manual_suppression[manual_suppression],0)),
  INDEX(door_open[Probability],MATCH($G121,door_open[door_open],0)),
  INDEX(smoke_seal[Probability],MATCH($H121,smoke_seal[smoke_seal],0))
)</f>
        <v>6.0943428000000063E-3</v>
      </c>
      <c r="L12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21" t="str">
        <f>event_tree[[#This Row],[ASET_scenario]]&amp;Inputs!$F$8</f>
        <v>X6</v>
      </c>
      <c r="N12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2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21" t="str">
        <f>event_tree[[#This Row],[fire_location]]&amp;Inputs!$F$8</f>
        <v>Corridor6</v>
      </c>
      <c r="Q12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21">
        <f>IF(event_tree[[#This Row],[fire_location]]="Apartment",Inputs!$F$11,Inputs!$F$12)</f>
        <v>600</v>
      </c>
      <c r="S121">
        <f>10+Inputs!$F$8</f>
        <v>16</v>
      </c>
      <c r="T12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21">
        <f>IF(event_tree[[#This Row],[fire_location]]="Apartment",Inputs!$F$12,Inputs!$F$11)</f>
        <v>60</v>
      </c>
      <c r="V121">
        <f>10+Inputs!$F$8</f>
        <v>16</v>
      </c>
      <c r="W121">
        <f>30</f>
        <v>30</v>
      </c>
      <c r="X121" t="str">
        <f>IF(event_tree[[#This Row],[ASET_scenario]]="X","extinguish",
   event_tree[[#This Row],[SOU_tdet]] + event_tree[[#This Row],[SOU_tpre]] + event_tree[[#This Row],[tnot]])</f>
        <v>extinguish</v>
      </c>
      <c r="Y121" t="str">
        <f>IF(event_tree[[#This Row],[ASET_scenario]]="X","extinguish",
   event_tree[[#This Row],[SOU_inside_RSET]] + event_tree[[#This Row],[SOU_ttrav]])</f>
        <v>extinguish</v>
      </c>
      <c r="Z12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21" t="str">
        <f>IF(event_tree[[#This Row],[ASET_scenario]]="X","extinguish", event_tree[[#This Row],[apt_ASET]]/event_tree[[#This Row],[SOU_inside_RSET]])</f>
        <v>extinguish</v>
      </c>
      <c r="AB121" t="str">
        <f>IF(event_tree[[#This Row],[ASET_scenario]]="X","extinguish",event_tree[[#This Row],[cor_ASET]]/event_tree[[#This Row],[SOU_outside_RSET]])</f>
        <v>extinguish</v>
      </c>
      <c r="AC121" t="str">
        <f>IF(event_tree[[#This Row],[ASET_scenario]]="X","extinguish",event_tree[[#This Row],[cor_ASET]]/event_tree[[#This Row],[remote_RSET]])</f>
        <v>extinguish</v>
      </c>
      <c r="AD121" t="b">
        <f>IF(OR(event_tree[[#This Row],[SOU_inside_ratio]]&lt;1,event_tree[[#This Row],[SOU_outside_ratio]]&lt;1),2)</f>
        <v>0</v>
      </c>
      <c r="AE121" t="b">
        <f>IF(event_tree[[#This Row],[remote_ratio]]&lt;1,2*(Inputs!$F$5-1))</f>
        <v>0</v>
      </c>
      <c r="AF121">
        <f>event_tree[[#This Row],[SOU_casualty]]+event_tree[[#This Row],[remote_casualty]]</f>
        <v>0</v>
      </c>
      <c r="AG121">
        <f>event_tree[[#This Row],[fire_frequency]]*event_tree[[#This Row],[probability_of_scenario]]</f>
        <v>7.9226456400000082E-6</v>
      </c>
      <c r="AH121">
        <f>event_tree[[#This Row],[total_casualty]]*event_tree[[#This Row],[fire_probability]]</f>
        <v>0</v>
      </c>
    </row>
    <row r="122" spans="1:34" x14ac:dyDescent="0.25">
      <c r="A122">
        <v>121</v>
      </c>
      <c r="B122" t="str" cm="1">
        <f t="array" ref="B12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2" t="str" cm="1">
        <f t="array" ref="C12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2" t="str" cm="1">
        <f t="array" ref="D12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22" t="str" cm="1">
        <f t="array" ref="E122">INDEX(sprinkler[sprinkler],
  1+MOD(QUOTIENT(ROW()-ROW($B$2),
     ROWS(manual_suppression[manual_suppression])*
     ROWS(door_open[door_open])*
     ROWS(smoke_seal[smoke_seal])
  ),
  ROWS(sprinkler[sprinkler]))
)</f>
        <v>Fail</v>
      </c>
      <c r="F122" t="str" cm="1">
        <f t="array" ref="F122">INDEX(manual_suppression[manual_suppression],
  1+MOD(QUOTIENT(ROW()-ROW($B$2),
     ROWS(door_open[door_open])*
     ROWS(smoke_seal[smoke_seal])
  ),
  ROWS(manual_suppression[manual_suppression]))
)</f>
        <v>Fail</v>
      </c>
      <c r="G122" t="str" cm="1">
        <f t="array" ref="G122">INDEX(door_open[door_open],
  1+MOD(QUOTIENT(ROW()-ROW($B$2),
     ROWS(smoke_seal[smoke_seal])
  ),
  ROWS(door_open[door_open]))
)</f>
        <v>Open</v>
      </c>
      <c r="H122" t="str" cm="1">
        <f t="array" ref="H122">INDEX(smoke_seal[smoke_seal],
  1+MOD(ROW()-ROW($B$2), ROWS(smoke_seal[smoke_seal]))
)</f>
        <v>Fail</v>
      </c>
      <c r="I122" t="str">
        <f>IF(event_tree[[#This Row],[door_open]]="Open","Open",IF(event_tree[[#This Row],[smoke_seal]]="Success","Close","Part"))</f>
        <v>Open</v>
      </c>
      <c r="J122">
        <f>IF(B122="apartment",Inputs!$I$7,Inputs!$I$6)</f>
        <v>1.2999999999999999E-3</v>
      </c>
      <c r="K122">
        <f>PRODUCT(
  INDEX(fire_location[Probability],MATCH($B122,fire_location[fire_location],0)),
  INDEX(smoke_detection_apt[Probability],MATCH($C122,smoke_detection_apt[smoke_detection_apt],0)),
  INDEX(smoke_detection_corridor[Probability],MATCH($D122,smoke_detection_corridor[smoke_detection_corridor],0)),
  INDEX(sprinkler[Probability],MATCH($E122,sprinkler[sprinkler],0)),
  INDEX(manual_suppression[Probability],MATCH($F122,manual_suppression[manual_suppression],0)),
  INDEX(door_open[Probability],MATCH($G122,door_open[door_open],0)),
  INDEX(smoke_seal[Probability],MATCH($H122,smoke_seal[smoke_seal],0))
)</f>
        <v>1.7529750000000013E-5</v>
      </c>
      <c r="L12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G</v>
      </c>
      <c r="M122" t="str">
        <f>event_tree[[#This Row],[ASET_scenario]]&amp;Inputs!$F$8</f>
        <v>G6</v>
      </c>
      <c r="N122">
        <f>IF(OR(event_tree[[#This Row],[sprinkler]]="Extinguish",event_tree[[#This Row],[manual_suppression]]="Suppress"),"extinguish",_xlfn.XLOOKUP(event_tree[[#This Row],[ASET_helper1]],ASET_data[ASET_helper1],ASET_data[apt_ASET]))</f>
        <v>61</v>
      </c>
      <c r="O122">
        <f>IF(OR(event_tree[[#This Row],[sprinkler]]="Extinguish",event_tree[[#This Row],[manual_suppression]]="Suppress"),"extinguish",_xlfn.XLOOKUP(event_tree[[#This Row],[ASET_helper1]],ASET_data[ASET_helper1],ASET_data[cor_ASET]))</f>
        <v>39</v>
      </c>
      <c r="P122" t="str">
        <f>event_tree[[#This Row],[fire_location]]&amp;Inputs!$F$8</f>
        <v>Corridor6</v>
      </c>
      <c r="Q12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83</v>
      </c>
      <c r="R122">
        <f>IF(event_tree[[#This Row],[fire_location]]="Apartment",Inputs!$F$11,Inputs!$F$12)</f>
        <v>600</v>
      </c>
      <c r="S122">
        <f>10+Inputs!$F$8</f>
        <v>16</v>
      </c>
      <c r="T12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383</v>
      </c>
      <c r="U122">
        <f>IF(event_tree[[#This Row],[fire_location]]="Apartment",Inputs!$F$12,Inputs!$F$11)</f>
        <v>60</v>
      </c>
      <c r="V122">
        <f>10+Inputs!$F$8</f>
        <v>16</v>
      </c>
      <c r="W122">
        <f>30</f>
        <v>30</v>
      </c>
      <c r="X122">
        <f>IF(event_tree[[#This Row],[ASET_scenario]]="X","extinguish",
   event_tree[[#This Row],[SOU_tdet]] + event_tree[[#This Row],[SOU_tpre]] + event_tree[[#This Row],[tnot]])</f>
        <v>713</v>
      </c>
      <c r="Y122">
        <f>IF(event_tree[[#This Row],[ASET_scenario]]="X","extinguish",
   event_tree[[#This Row],[SOU_inside_RSET]] + event_tree[[#This Row],[SOU_ttrav]])</f>
        <v>729</v>
      </c>
      <c r="Z122">
        <f>IF(event_tree[[#This Row],[ASET_scenario]]="X","extinguish",
   event_tree[[#This Row],[remote_tdet]] + event_tree[[#This Row],[remote_tpre]] + event_tree[[#This Row],[remote_ttrav]] + event_tree[[#This Row],[tnot]])</f>
        <v>489</v>
      </c>
      <c r="AA122">
        <f>IF(event_tree[[#This Row],[ASET_scenario]]="X","extinguish", event_tree[[#This Row],[apt_ASET]]/event_tree[[#This Row],[SOU_inside_RSET]])</f>
        <v>8.5553997194950909E-2</v>
      </c>
      <c r="AB122">
        <f>IF(event_tree[[#This Row],[ASET_scenario]]="X","extinguish",event_tree[[#This Row],[cor_ASET]]/event_tree[[#This Row],[SOU_outside_RSET]])</f>
        <v>5.3497942386831275E-2</v>
      </c>
      <c r="AC122">
        <f>IF(event_tree[[#This Row],[ASET_scenario]]="X","extinguish",event_tree[[#This Row],[cor_ASET]]/event_tree[[#This Row],[remote_RSET]])</f>
        <v>7.9754601226993863E-2</v>
      </c>
      <c r="AD122">
        <f>IF(OR(event_tree[[#This Row],[SOU_inside_ratio]]&lt;1,event_tree[[#This Row],[SOU_outside_ratio]]&lt;1),2)</f>
        <v>2</v>
      </c>
      <c r="AE122">
        <f>IF(event_tree[[#This Row],[remote_ratio]]&lt;1,2*(Inputs!$F$5-1))</f>
        <v>10</v>
      </c>
      <c r="AF122">
        <f>event_tree[[#This Row],[SOU_casualty]]+event_tree[[#This Row],[remote_casualty]]</f>
        <v>12</v>
      </c>
      <c r="AG122">
        <f>event_tree[[#This Row],[fire_frequency]]*event_tree[[#This Row],[probability_of_scenario]]</f>
        <v>2.2788675000000015E-8</v>
      </c>
      <c r="AH122">
        <f>event_tree[[#This Row],[total_casualty]]*event_tree[[#This Row],[fire_probability]]</f>
        <v>2.7346410000000017E-7</v>
      </c>
    </row>
    <row r="123" spans="1:34" x14ac:dyDescent="0.25">
      <c r="A123">
        <v>122</v>
      </c>
      <c r="B123" t="str" cm="1">
        <f t="array" ref="B12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3" t="str" cm="1">
        <f t="array" ref="C12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3" t="str" cm="1">
        <f t="array" ref="D12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23" t="str" cm="1">
        <f t="array" ref="E123">INDEX(sprinkler[sprinkler],
  1+MOD(QUOTIENT(ROW()-ROW($B$2),
     ROWS(manual_suppression[manual_suppression])*
     ROWS(door_open[door_open])*
     ROWS(smoke_seal[smoke_seal])
  ),
  ROWS(sprinkler[sprinkler]))
)</f>
        <v>Fail</v>
      </c>
      <c r="F123" t="str" cm="1">
        <f t="array" ref="F123">INDEX(manual_suppression[manual_suppression],
  1+MOD(QUOTIENT(ROW()-ROW($B$2),
     ROWS(door_open[door_open])*
     ROWS(smoke_seal[smoke_seal])
  ),
  ROWS(manual_suppression[manual_suppression]))
)</f>
        <v>Fail</v>
      </c>
      <c r="G123" t="str" cm="1">
        <f t="array" ref="G123">INDEX(door_open[door_open],
  1+MOD(QUOTIENT(ROW()-ROW($B$2),
     ROWS(smoke_seal[smoke_seal])
  ),
  ROWS(door_open[door_open]))
)</f>
        <v>Open</v>
      </c>
      <c r="H123" t="str" cm="1">
        <f t="array" ref="H123">INDEX(smoke_seal[smoke_seal],
  1+MOD(ROW()-ROW($B$2), ROWS(smoke_seal[smoke_seal]))
)</f>
        <v>Success</v>
      </c>
      <c r="I123" t="str">
        <f>IF(event_tree[[#This Row],[door_open]]="Open","Open",IF(event_tree[[#This Row],[smoke_seal]]="Success","Close","Part"))</f>
        <v>Open</v>
      </c>
      <c r="J123">
        <f>IF(B123="apartment",Inputs!$I$7,Inputs!$I$6)</f>
        <v>1.2999999999999999E-3</v>
      </c>
      <c r="K123">
        <f>PRODUCT(
  INDEX(fire_location[Probability],MATCH($B123,fire_location[fire_location],0)),
  INDEX(smoke_detection_apt[Probability],MATCH($C123,smoke_detection_apt[smoke_detection_apt],0)),
  INDEX(smoke_detection_corridor[Probability],MATCH($D123,smoke_detection_corridor[smoke_detection_corridor],0)),
  INDEX(sprinkler[Probability],MATCH($E123,sprinkler[sprinkler],0)),
  INDEX(manual_suppression[Probability],MATCH($F123,manual_suppression[manual_suppression],0)),
  INDEX(door_open[Probability],MATCH($G123,door_open[door_open],0)),
  INDEX(smoke_seal[Probability],MATCH($H123,smoke_seal[smoke_seal],0))
)</f>
        <v>3.2555250000000027E-5</v>
      </c>
      <c r="L12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G</v>
      </c>
      <c r="M123" t="str">
        <f>event_tree[[#This Row],[ASET_scenario]]&amp;Inputs!$F$8</f>
        <v>G6</v>
      </c>
      <c r="N123">
        <f>IF(OR(event_tree[[#This Row],[sprinkler]]="Extinguish",event_tree[[#This Row],[manual_suppression]]="Suppress"),"extinguish",_xlfn.XLOOKUP(event_tree[[#This Row],[ASET_helper1]],ASET_data[ASET_helper1],ASET_data[apt_ASET]))</f>
        <v>61</v>
      </c>
      <c r="O123">
        <f>IF(OR(event_tree[[#This Row],[sprinkler]]="Extinguish",event_tree[[#This Row],[manual_suppression]]="Suppress"),"extinguish",_xlfn.XLOOKUP(event_tree[[#This Row],[ASET_helper1]],ASET_data[ASET_helper1],ASET_data[cor_ASET]))</f>
        <v>39</v>
      </c>
      <c r="P123" t="str">
        <f>event_tree[[#This Row],[fire_location]]&amp;Inputs!$F$8</f>
        <v>Corridor6</v>
      </c>
      <c r="Q12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83</v>
      </c>
      <c r="R123">
        <f>IF(event_tree[[#This Row],[fire_location]]="Apartment",Inputs!$F$11,Inputs!$F$12)</f>
        <v>600</v>
      </c>
      <c r="S123">
        <f>10+Inputs!$F$8</f>
        <v>16</v>
      </c>
      <c r="T12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383</v>
      </c>
      <c r="U123">
        <f>IF(event_tree[[#This Row],[fire_location]]="Apartment",Inputs!$F$12,Inputs!$F$11)</f>
        <v>60</v>
      </c>
      <c r="V123">
        <f>10+Inputs!$F$8</f>
        <v>16</v>
      </c>
      <c r="W123">
        <f>30</f>
        <v>30</v>
      </c>
      <c r="X123">
        <f>IF(event_tree[[#This Row],[ASET_scenario]]="X","extinguish",
   event_tree[[#This Row],[SOU_tdet]] + event_tree[[#This Row],[SOU_tpre]] + event_tree[[#This Row],[tnot]])</f>
        <v>713</v>
      </c>
      <c r="Y123">
        <f>IF(event_tree[[#This Row],[ASET_scenario]]="X","extinguish",
   event_tree[[#This Row],[SOU_inside_RSET]] + event_tree[[#This Row],[SOU_ttrav]])</f>
        <v>729</v>
      </c>
      <c r="Z123">
        <f>IF(event_tree[[#This Row],[ASET_scenario]]="X","extinguish",
   event_tree[[#This Row],[remote_tdet]] + event_tree[[#This Row],[remote_tpre]] + event_tree[[#This Row],[remote_ttrav]] + event_tree[[#This Row],[tnot]])</f>
        <v>489</v>
      </c>
      <c r="AA123">
        <f>IF(event_tree[[#This Row],[ASET_scenario]]="X","extinguish", event_tree[[#This Row],[apt_ASET]]/event_tree[[#This Row],[SOU_inside_RSET]])</f>
        <v>8.5553997194950909E-2</v>
      </c>
      <c r="AB123">
        <f>IF(event_tree[[#This Row],[ASET_scenario]]="X","extinguish",event_tree[[#This Row],[cor_ASET]]/event_tree[[#This Row],[SOU_outside_RSET]])</f>
        <v>5.3497942386831275E-2</v>
      </c>
      <c r="AC123">
        <f>IF(event_tree[[#This Row],[ASET_scenario]]="X","extinguish",event_tree[[#This Row],[cor_ASET]]/event_tree[[#This Row],[remote_RSET]])</f>
        <v>7.9754601226993863E-2</v>
      </c>
      <c r="AD123">
        <f>IF(OR(event_tree[[#This Row],[SOU_inside_ratio]]&lt;1,event_tree[[#This Row],[SOU_outside_ratio]]&lt;1),2)</f>
        <v>2</v>
      </c>
      <c r="AE123">
        <f>IF(event_tree[[#This Row],[remote_ratio]]&lt;1,2*(Inputs!$F$5-1))</f>
        <v>10</v>
      </c>
      <c r="AF123">
        <f>event_tree[[#This Row],[SOU_casualty]]+event_tree[[#This Row],[remote_casualty]]</f>
        <v>12</v>
      </c>
      <c r="AG123">
        <f>event_tree[[#This Row],[fire_frequency]]*event_tree[[#This Row],[probability_of_scenario]]</f>
        <v>4.2321825000000034E-8</v>
      </c>
      <c r="AH123">
        <f>event_tree[[#This Row],[total_casualty]]*event_tree[[#This Row],[fire_probability]]</f>
        <v>5.0786190000000043E-7</v>
      </c>
    </row>
    <row r="124" spans="1:34" x14ac:dyDescent="0.25">
      <c r="A124">
        <v>123</v>
      </c>
      <c r="B124" t="str" cm="1">
        <f t="array" ref="B12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4" t="str" cm="1">
        <f t="array" ref="C12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4" t="str" cm="1">
        <f t="array" ref="D12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24" t="str" cm="1">
        <f t="array" ref="E124">INDEX(sprinkler[sprinkler],
  1+MOD(QUOTIENT(ROW()-ROW($B$2),
     ROWS(manual_suppression[manual_suppression])*
     ROWS(door_open[door_open])*
     ROWS(smoke_seal[smoke_seal])
  ),
  ROWS(sprinkler[sprinkler]))
)</f>
        <v>Fail</v>
      </c>
      <c r="F124" t="str" cm="1">
        <f t="array" ref="F124">INDEX(manual_suppression[manual_suppression],
  1+MOD(QUOTIENT(ROW()-ROW($B$2),
     ROWS(door_open[door_open])*
     ROWS(smoke_seal[smoke_seal])
  ),
  ROWS(manual_suppression[manual_suppression]))
)</f>
        <v>Fail</v>
      </c>
      <c r="G124" t="str" cm="1">
        <f t="array" ref="G124">INDEX(door_open[door_open],
  1+MOD(QUOTIENT(ROW()-ROW($B$2),
     ROWS(smoke_seal[smoke_seal])
  ),
  ROWS(door_open[door_open]))
)</f>
        <v>Closed</v>
      </c>
      <c r="H124" t="str" cm="1">
        <f t="array" ref="H124">INDEX(smoke_seal[smoke_seal],
  1+MOD(ROW()-ROW($B$2), ROWS(smoke_seal[smoke_seal]))
)</f>
        <v>Fail</v>
      </c>
      <c r="I124" t="str">
        <f>IF(event_tree[[#This Row],[door_open]]="Open","Open",IF(event_tree[[#This Row],[smoke_seal]]="Success","Close","Part"))</f>
        <v>Part</v>
      </c>
      <c r="J124">
        <f>IF(B124="apartment",Inputs!$I$7,Inputs!$I$6)</f>
        <v>1.2999999999999999E-3</v>
      </c>
      <c r="K124">
        <f>PRODUCT(
  INDEX(fire_location[Probability],MATCH($B124,fire_location[fire_location],0)),
  INDEX(smoke_detection_apt[Probability],MATCH($C124,smoke_detection_apt[smoke_detection_apt],0)),
  INDEX(smoke_detection_corridor[Probability],MATCH($D124,smoke_detection_corridor[smoke_detection_corridor],0)),
  INDEX(sprinkler[Probability],MATCH($E124,sprinkler[sprinkler],0)),
  INDEX(manual_suppression[Probability],MATCH($F124,manual_suppression[manual_suppression],0)),
  INDEX(door_open[Probability],MATCH($G124,door_open[door_open],0)),
  INDEX(smoke_seal[Probability],MATCH($H124,smoke_seal[smoke_seal],0))
)</f>
        <v>4.0902750000000028E-5</v>
      </c>
      <c r="L12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I</v>
      </c>
      <c r="M124" t="str">
        <f>event_tree[[#This Row],[ASET_scenario]]&amp;Inputs!$F$8</f>
        <v>I6</v>
      </c>
      <c r="N124">
        <f>IF(OR(event_tree[[#This Row],[sprinkler]]="Extinguish",event_tree[[#This Row],[manual_suppression]]="Suppress"),"extinguish",_xlfn.XLOOKUP(event_tree[[#This Row],[ASET_helper1]],ASET_data[ASET_helper1],ASET_data[apt_ASET]))</f>
        <v>96</v>
      </c>
      <c r="O124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24" t="str">
        <f>event_tree[[#This Row],[fire_location]]&amp;Inputs!$F$8</f>
        <v>Corridor6</v>
      </c>
      <c r="Q12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67</v>
      </c>
      <c r="R124">
        <f>IF(event_tree[[#This Row],[fire_location]]="Apartment",Inputs!$F$11,Inputs!$F$12)</f>
        <v>600</v>
      </c>
      <c r="S124">
        <f>10+Inputs!$F$8</f>
        <v>16</v>
      </c>
      <c r="T12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367</v>
      </c>
      <c r="U124">
        <f>IF(event_tree[[#This Row],[fire_location]]="Apartment",Inputs!$F$12,Inputs!$F$11)</f>
        <v>60</v>
      </c>
      <c r="V124">
        <f>10+Inputs!$F$8</f>
        <v>16</v>
      </c>
      <c r="W124">
        <f>30</f>
        <v>30</v>
      </c>
      <c r="X124">
        <f>IF(event_tree[[#This Row],[ASET_scenario]]="X","extinguish",
   event_tree[[#This Row],[SOU_tdet]] + event_tree[[#This Row],[SOU_tpre]] + event_tree[[#This Row],[tnot]])</f>
        <v>697</v>
      </c>
      <c r="Y124">
        <f>IF(event_tree[[#This Row],[ASET_scenario]]="X","extinguish",
   event_tree[[#This Row],[SOU_inside_RSET]] + event_tree[[#This Row],[SOU_ttrav]])</f>
        <v>713</v>
      </c>
      <c r="Z124">
        <f>IF(event_tree[[#This Row],[ASET_scenario]]="X","extinguish",
   event_tree[[#This Row],[remote_tdet]] + event_tree[[#This Row],[remote_tpre]] + event_tree[[#This Row],[remote_ttrav]] + event_tree[[#This Row],[tnot]])</f>
        <v>473</v>
      </c>
      <c r="AA124">
        <f>IF(event_tree[[#This Row],[ASET_scenario]]="X","extinguish", event_tree[[#This Row],[apt_ASET]]/event_tree[[#This Row],[SOU_inside_RSET]])</f>
        <v>0.13773314203730272</v>
      </c>
      <c r="AB124">
        <f>IF(event_tree[[#This Row],[ASET_scenario]]="X","extinguish",event_tree[[#This Row],[cor_ASET]]/event_tree[[#This Row],[SOU_outside_RSET]])</f>
        <v>3.0855539971949508E-2</v>
      </c>
      <c r="AC124">
        <f>IF(event_tree[[#This Row],[ASET_scenario]]="X","extinguish",event_tree[[#This Row],[cor_ASET]]/event_tree[[#This Row],[remote_RSET]])</f>
        <v>4.6511627906976744E-2</v>
      </c>
      <c r="AD124">
        <f>IF(OR(event_tree[[#This Row],[SOU_inside_ratio]]&lt;1,event_tree[[#This Row],[SOU_outside_ratio]]&lt;1),2)</f>
        <v>2</v>
      </c>
      <c r="AE124">
        <f>IF(event_tree[[#This Row],[remote_ratio]]&lt;1,2*(Inputs!$F$5-1))</f>
        <v>10</v>
      </c>
      <c r="AF124">
        <f>event_tree[[#This Row],[SOU_casualty]]+event_tree[[#This Row],[remote_casualty]]</f>
        <v>12</v>
      </c>
      <c r="AG124">
        <f>event_tree[[#This Row],[fire_frequency]]*event_tree[[#This Row],[probability_of_scenario]]</f>
        <v>5.3173575000000037E-8</v>
      </c>
      <c r="AH124">
        <f>event_tree[[#This Row],[total_casualty]]*event_tree[[#This Row],[fire_probability]]</f>
        <v>6.3808290000000042E-7</v>
      </c>
    </row>
    <row r="125" spans="1:34" x14ac:dyDescent="0.25">
      <c r="A125">
        <v>124</v>
      </c>
      <c r="B125" t="str" cm="1">
        <f t="array" ref="B12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5" t="str" cm="1">
        <f t="array" ref="C12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5" t="str" cm="1">
        <f t="array" ref="D12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25" t="str" cm="1">
        <f t="array" ref="E125">INDEX(sprinkler[sprinkler],
  1+MOD(QUOTIENT(ROW()-ROW($B$2),
     ROWS(manual_suppression[manual_suppression])*
     ROWS(door_open[door_open])*
     ROWS(smoke_seal[smoke_seal])
  ),
  ROWS(sprinkler[sprinkler]))
)</f>
        <v>Fail</v>
      </c>
      <c r="F125" t="str" cm="1">
        <f t="array" ref="F125">INDEX(manual_suppression[manual_suppression],
  1+MOD(QUOTIENT(ROW()-ROW($B$2),
     ROWS(door_open[door_open])*
     ROWS(smoke_seal[smoke_seal])
  ),
  ROWS(manual_suppression[manual_suppression]))
)</f>
        <v>Fail</v>
      </c>
      <c r="G125" t="str" cm="1">
        <f t="array" ref="G125">INDEX(door_open[door_open],
  1+MOD(QUOTIENT(ROW()-ROW($B$2),
     ROWS(smoke_seal[smoke_seal])
  ),
  ROWS(door_open[door_open]))
)</f>
        <v>Closed</v>
      </c>
      <c r="H125" t="str" cm="1">
        <f t="array" ref="H125">INDEX(smoke_seal[smoke_seal],
  1+MOD(ROW()-ROW($B$2), ROWS(smoke_seal[smoke_seal]))
)</f>
        <v>Success</v>
      </c>
      <c r="I125" t="str">
        <f>IF(event_tree[[#This Row],[door_open]]="Open","Open",IF(event_tree[[#This Row],[smoke_seal]]="Success","Close","Part"))</f>
        <v>Close</v>
      </c>
      <c r="J125">
        <f>IF(B125="apartment",Inputs!$I$7,Inputs!$I$6)</f>
        <v>1.2999999999999999E-3</v>
      </c>
      <c r="K125">
        <f>PRODUCT(
  INDEX(fire_location[Probability],MATCH($B125,fire_location[fire_location],0)),
  INDEX(smoke_detection_apt[Probability],MATCH($C125,smoke_detection_apt[smoke_detection_apt],0)),
  INDEX(smoke_detection_corridor[Probability],MATCH($D125,smoke_detection_corridor[smoke_detection_corridor],0)),
  INDEX(sprinkler[Probability],MATCH($E125,sprinkler[sprinkler],0)),
  INDEX(manual_suppression[Probability],MATCH($F125,manual_suppression[manual_suppression],0)),
  INDEX(door_open[Probability],MATCH($G125,door_open[door_open],0)),
  INDEX(smoke_seal[Probability],MATCH($H125,smoke_seal[smoke_seal],0))
)</f>
        <v>7.596225000000006E-5</v>
      </c>
      <c r="L12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H</v>
      </c>
      <c r="M125" t="str">
        <f>event_tree[[#This Row],[ASET_scenario]]&amp;Inputs!$F$8</f>
        <v>H6</v>
      </c>
      <c r="N125">
        <f>IF(OR(event_tree[[#This Row],[sprinkler]]="Extinguish",event_tree[[#This Row],[manual_suppression]]="Suppress"),"extinguish",_xlfn.XLOOKUP(event_tree[[#This Row],[ASET_helper1]],ASET_data[ASET_helper1],ASET_data[apt_ASET]))</f>
        <v>3600</v>
      </c>
      <c r="O125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25" t="str">
        <f>event_tree[[#This Row],[fire_location]]&amp;Inputs!$F$8</f>
        <v>Corridor6</v>
      </c>
      <c r="Q12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339</v>
      </c>
      <c r="R125">
        <f>IF(event_tree[[#This Row],[fire_location]]="Apartment",Inputs!$F$11,Inputs!$F$12)</f>
        <v>600</v>
      </c>
      <c r="S125">
        <f>10+Inputs!$F$8</f>
        <v>16</v>
      </c>
      <c r="T12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639</v>
      </c>
      <c r="U125">
        <f>IF(event_tree[[#This Row],[fire_location]]="Apartment",Inputs!$F$12,Inputs!$F$11)</f>
        <v>60</v>
      </c>
      <c r="V125">
        <f>10+Inputs!$F$8</f>
        <v>16</v>
      </c>
      <c r="W125">
        <f>30</f>
        <v>30</v>
      </c>
      <c r="X125">
        <f>IF(event_tree[[#This Row],[ASET_scenario]]="X","extinguish",
   event_tree[[#This Row],[SOU_tdet]] + event_tree[[#This Row],[SOU_tpre]] + event_tree[[#This Row],[tnot]])</f>
        <v>969</v>
      </c>
      <c r="Y125">
        <f>IF(event_tree[[#This Row],[ASET_scenario]]="X","extinguish",
   event_tree[[#This Row],[SOU_inside_RSET]] + event_tree[[#This Row],[SOU_ttrav]])</f>
        <v>985</v>
      </c>
      <c r="Z125">
        <f>IF(event_tree[[#This Row],[ASET_scenario]]="X","extinguish",
   event_tree[[#This Row],[remote_tdet]] + event_tree[[#This Row],[remote_tpre]] + event_tree[[#This Row],[remote_ttrav]] + event_tree[[#This Row],[tnot]])</f>
        <v>745</v>
      </c>
      <c r="AA125">
        <f>IF(event_tree[[#This Row],[ASET_scenario]]="X","extinguish", event_tree[[#This Row],[apt_ASET]]/event_tree[[#This Row],[SOU_inside_RSET]])</f>
        <v>3.7151702786377707</v>
      </c>
      <c r="AB125">
        <f>IF(event_tree[[#This Row],[ASET_scenario]]="X","extinguish",event_tree[[#This Row],[cor_ASET]]/event_tree[[#This Row],[SOU_outside_RSET]])</f>
        <v>2.2335025380710659E-2</v>
      </c>
      <c r="AC125">
        <f>IF(event_tree[[#This Row],[ASET_scenario]]="X","extinguish",event_tree[[#This Row],[cor_ASET]]/event_tree[[#This Row],[remote_RSET]])</f>
        <v>2.9530201342281879E-2</v>
      </c>
      <c r="AD125">
        <f>IF(OR(event_tree[[#This Row],[SOU_inside_ratio]]&lt;1,event_tree[[#This Row],[SOU_outside_ratio]]&lt;1),2)</f>
        <v>2</v>
      </c>
      <c r="AE125">
        <f>IF(event_tree[[#This Row],[remote_ratio]]&lt;1,2*(Inputs!$F$5-1))</f>
        <v>10</v>
      </c>
      <c r="AF125">
        <f>event_tree[[#This Row],[SOU_casualty]]+event_tree[[#This Row],[remote_casualty]]</f>
        <v>12</v>
      </c>
      <c r="AG125">
        <f>event_tree[[#This Row],[fire_frequency]]*event_tree[[#This Row],[probability_of_scenario]]</f>
        <v>9.8750925000000067E-8</v>
      </c>
      <c r="AH125">
        <f>event_tree[[#This Row],[total_casualty]]*event_tree[[#This Row],[fire_probability]]</f>
        <v>1.1850111000000008E-6</v>
      </c>
    </row>
    <row r="126" spans="1:34" x14ac:dyDescent="0.25">
      <c r="A126">
        <v>125</v>
      </c>
      <c r="B126" t="str" cm="1">
        <f t="array" ref="B12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6" t="str" cm="1">
        <f t="array" ref="C12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6" t="str" cm="1">
        <f t="array" ref="D12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26" t="str" cm="1">
        <f t="array" ref="E126">INDEX(sprinkler[sprinkler],
  1+MOD(QUOTIENT(ROW()-ROW($B$2),
     ROWS(manual_suppression[manual_suppression])*
     ROWS(door_open[door_open])*
     ROWS(smoke_seal[smoke_seal])
  ),
  ROWS(sprinkler[sprinkler]))
)</f>
        <v>Fail</v>
      </c>
      <c r="F126" t="str" cm="1">
        <f t="array" ref="F126">INDEX(manual_suppression[manual_suppression],
  1+MOD(QUOTIENT(ROW()-ROW($B$2),
     ROWS(door_open[door_open])*
     ROWS(smoke_seal[smoke_seal])
  ),
  ROWS(manual_suppression[manual_suppression]))
)</f>
        <v>Suppress</v>
      </c>
      <c r="G126" t="str" cm="1">
        <f t="array" ref="G126">INDEX(door_open[door_open],
  1+MOD(QUOTIENT(ROW()-ROW($B$2),
     ROWS(smoke_seal[smoke_seal])
  ),
  ROWS(door_open[door_open]))
)</f>
        <v>Open</v>
      </c>
      <c r="H126" t="str" cm="1">
        <f t="array" ref="H126">INDEX(smoke_seal[smoke_seal],
  1+MOD(ROW()-ROW($B$2), ROWS(smoke_seal[smoke_seal]))
)</f>
        <v>Fail</v>
      </c>
      <c r="I126" t="str">
        <f>IF(event_tree[[#This Row],[door_open]]="Open","Open",IF(event_tree[[#This Row],[smoke_seal]]="Success","Close","Part"))</f>
        <v>Open</v>
      </c>
      <c r="J126">
        <f>IF(B126="apartment",Inputs!$I$7,Inputs!$I$6)</f>
        <v>1.2999999999999999E-3</v>
      </c>
      <c r="K126">
        <f>PRODUCT(
  INDEX(fire_location[Probability],MATCH($B126,fire_location[fire_location],0)),
  INDEX(smoke_detection_apt[Probability],MATCH($C126,smoke_detection_apt[smoke_detection_apt],0)),
  INDEX(smoke_detection_corridor[Probability],MATCH($D126,smoke_detection_corridor[smoke_detection_corridor],0)),
  INDEX(sprinkler[Probability],MATCH($E126,sprinkler[sprinkler],0)),
  INDEX(manual_suppression[Probability],MATCH($F126,manual_suppression[manual_suppression],0)),
  INDEX(door_open[Probability],MATCH($G126,door_open[door_open],0)),
  INDEX(smoke_seal[Probability],MATCH($H126,smoke_seal[smoke_seal],0))
)</f>
        <v>3.2555250000000027E-5</v>
      </c>
      <c r="L12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26" t="str">
        <f>event_tree[[#This Row],[ASET_scenario]]&amp;Inputs!$F$8</f>
        <v>X6</v>
      </c>
      <c r="N12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2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26" t="str">
        <f>event_tree[[#This Row],[fire_location]]&amp;Inputs!$F$8</f>
        <v>Corridor6</v>
      </c>
      <c r="Q12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26">
        <f>IF(event_tree[[#This Row],[fire_location]]="Apartment",Inputs!$F$11,Inputs!$F$12)</f>
        <v>600</v>
      </c>
      <c r="S126">
        <f>10+Inputs!$F$8</f>
        <v>16</v>
      </c>
      <c r="T12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26">
        <f>IF(event_tree[[#This Row],[fire_location]]="Apartment",Inputs!$F$12,Inputs!$F$11)</f>
        <v>60</v>
      </c>
      <c r="V126">
        <f>10+Inputs!$F$8</f>
        <v>16</v>
      </c>
      <c r="W126">
        <f>30</f>
        <v>30</v>
      </c>
      <c r="X126" t="str">
        <f>IF(event_tree[[#This Row],[ASET_scenario]]="X","extinguish",
   event_tree[[#This Row],[SOU_tdet]] + event_tree[[#This Row],[SOU_tpre]] + event_tree[[#This Row],[tnot]])</f>
        <v>extinguish</v>
      </c>
      <c r="Y126" t="str">
        <f>IF(event_tree[[#This Row],[ASET_scenario]]="X","extinguish",
   event_tree[[#This Row],[SOU_inside_RSET]] + event_tree[[#This Row],[SOU_ttrav]])</f>
        <v>extinguish</v>
      </c>
      <c r="Z12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26" t="str">
        <f>IF(event_tree[[#This Row],[ASET_scenario]]="X","extinguish", event_tree[[#This Row],[apt_ASET]]/event_tree[[#This Row],[SOU_inside_RSET]])</f>
        <v>extinguish</v>
      </c>
      <c r="AB126" t="str">
        <f>IF(event_tree[[#This Row],[ASET_scenario]]="X","extinguish",event_tree[[#This Row],[cor_ASET]]/event_tree[[#This Row],[SOU_outside_RSET]])</f>
        <v>extinguish</v>
      </c>
      <c r="AC126" t="str">
        <f>IF(event_tree[[#This Row],[ASET_scenario]]="X","extinguish",event_tree[[#This Row],[cor_ASET]]/event_tree[[#This Row],[remote_RSET]])</f>
        <v>extinguish</v>
      </c>
      <c r="AD126" t="b">
        <f>IF(OR(event_tree[[#This Row],[SOU_inside_ratio]]&lt;1,event_tree[[#This Row],[SOU_outside_ratio]]&lt;1),2)</f>
        <v>0</v>
      </c>
      <c r="AE126" t="b">
        <f>IF(event_tree[[#This Row],[remote_ratio]]&lt;1,2*(Inputs!$F$5-1))</f>
        <v>0</v>
      </c>
      <c r="AF126">
        <f>event_tree[[#This Row],[SOU_casualty]]+event_tree[[#This Row],[remote_casualty]]</f>
        <v>0</v>
      </c>
      <c r="AG126">
        <f>event_tree[[#This Row],[fire_frequency]]*event_tree[[#This Row],[probability_of_scenario]]</f>
        <v>4.2321825000000034E-8</v>
      </c>
      <c r="AH126">
        <f>event_tree[[#This Row],[total_casualty]]*event_tree[[#This Row],[fire_probability]]</f>
        <v>0</v>
      </c>
    </row>
    <row r="127" spans="1:34" x14ac:dyDescent="0.25">
      <c r="A127">
        <v>126</v>
      </c>
      <c r="B127" t="str" cm="1">
        <f t="array" ref="B12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7" t="str" cm="1">
        <f t="array" ref="C12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7" t="str" cm="1">
        <f t="array" ref="D12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27" t="str" cm="1">
        <f t="array" ref="E127">INDEX(sprinkler[sprinkler],
  1+MOD(QUOTIENT(ROW()-ROW($B$2),
     ROWS(manual_suppression[manual_suppression])*
     ROWS(door_open[door_open])*
     ROWS(smoke_seal[smoke_seal])
  ),
  ROWS(sprinkler[sprinkler]))
)</f>
        <v>Fail</v>
      </c>
      <c r="F127" t="str" cm="1">
        <f t="array" ref="F127">INDEX(manual_suppression[manual_suppression],
  1+MOD(QUOTIENT(ROW()-ROW($B$2),
     ROWS(door_open[door_open])*
     ROWS(smoke_seal[smoke_seal])
  ),
  ROWS(manual_suppression[manual_suppression]))
)</f>
        <v>Suppress</v>
      </c>
      <c r="G127" t="str" cm="1">
        <f t="array" ref="G127">INDEX(door_open[door_open],
  1+MOD(QUOTIENT(ROW()-ROW($B$2),
     ROWS(smoke_seal[smoke_seal])
  ),
  ROWS(door_open[door_open]))
)</f>
        <v>Open</v>
      </c>
      <c r="H127" t="str" cm="1">
        <f t="array" ref="H127">INDEX(smoke_seal[smoke_seal],
  1+MOD(ROW()-ROW($B$2), ROWS(smoke_seal[smoke_seal]))
)</f>
        <v>Success</v>
      </c>
      <c r="I127" t="str">
        <f>IF(event_tree[[#This Row],[door_open]]="Open","Open",IF(event_tree[[#This Row],[smoke_seal]]="Success","Close","Part"))</f>
        <v>Open</v>
      </c>
      <c r="J127">
        <f>IF(B127="apartment",Inputs!$I$7,Inputs!$I$6)</f>
        <v>1.2999999999999999E-3</v>
      </c>
      <c r="K127">
        <f>PRODUCT(
  INDEX(fire_location[Probability],MATCH($B127,fire_location[fire_location],0)),
  INDEX(smoke_detection_apt[Probability],MATCH($C127,smoke_detection_apt[smoke_detection_apt],0)),
  INDEX(smoke_detection_corridor[Probability],MATCH($D127,smoke_detection_corridor[smoke_detection_corridor],0)),
  INDEX(sprinkler[Probability],MATCH($E127,sprinkler[sprinkler],0)),
  INDEX(manual_suppression[Probability],MATCH($F127,manual_suppression[manual_suppression],0)),
  INDEX(door_open[Probability],MATCH($G127,door_open[door_open],0)),
  INDEX(smoke_seal[Probability],MATCH($H127,smoke_seal[smoke_seal],0))
)</f>
        <v>6.0459750000000058E-5</v>
      </c>
      <c r="L12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27" t="str">
        <f>event_tree[[#This Row],[ASET_scenario]]&amp;Inputs!$F$8</f>
        <v>X6</v>
      </c>
      <c r="N12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2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27" t="str">
        <f>event_tree[[#This Row],[fire_location]]&amp;Inputs!$F$8</f>
        <v>Corridor6</v>
      </c>
      <c r="Q12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27">
        <f>IF(event_tree[[#This Row],[fire_location]]="Apartment",Inputs!$F$11,Inputs!$F$12)</f>
        <v>600</v>
      </c>
      <c r="S127">
        <f>10+Inputs!$F$8</f>
        <v>16</v>
      </c>
      <c r="T12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27">
        <f>IF(event_tree[[#This Row],[fire_location]]="Apartment",Inputs!$F$12,Inputs!$F$11)</f>
        <v>60</v>
      </c>
      <c r="V127">
        <f>10+Inputs!$F$8</f>
        <v>16</v>
      </c>
      <c r="W127">
        <f>30</f>
        <v>30</v>
      </c>
      <c r="X127" t="str">
        <f>IF(event_tree[[#This Row],[ASET_scenario]]="X","extinguish",
   event_tree[[#This Row],[SOU_tdet]] + event_tree[[#This Row],[SOU_tpre]] + event_tree[[#This Row],[tnot]])</f>
        <v>extinguish</v>
      </c>
      <c r="Y127" t="str">
        <f>IF(event_tree[[#This Row],[ASET_scenario]]="X","extinguish",
   event_tree[[#This Row],[SOU_inside_RSET]] + event_tree[[#This Row],[SOU_ttrav]])</f>
        <v>extinguish</v>
      </c>
      <c r="Z12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27" t="str">
        <f>IF(event_tree[[#This Row],[ASET_scenario]]="X","extinguish", event_tree[[#This Row],[apt_ASET]]/event_tree[[#This Row],[SOU_inside_RSET]])</f>
        <v>extinguish</v>
      </c>
      <c r="AB127" t="str">
        <f>IF(event_tree[[#This Row],[ASET_scenario]]="X","extinguish",event_tree[[#This Row],[cor_ASET]]/event_tree[[#This Row],[SOU_outside_RSET]])</f>
        <v>extinguish</v>
      </c>
      <c r="AC127" t="str">
        <f>IF(event_tree[[#This Row],[ASET_scenario]]="X","extinguish",event_tree[[#This Row],[cor_ASET]]/event_tree[[#This Row],[remote_RSET]])</f>
        <v>extinguish</v>
      </c>
      <c r="AD127" t="b">
        <f>IF(OR(event_tree[[#This Row],[SOU_inside_ratio]]&lt;1,event_tree[[#This Row],[SOU_outside_ratio]]&lt;1),2)</f>
        <v>0</v>
      </c>
      <c r="AE127" t="b">
        <f>IF(event_tree[[#This Row],[remote_ratio]]&lt;1,2*(Inputs!$F$5-1))</f>
        <v>0</v>
      </c>
      <c r="AF127">
        <f>event_tree[[#This Row],[SOU_casualty]]+event_tree[[#This Row],[remote_casualty]]</f>
        <v>0</v>
      </c>
      <c r="AG127">
        <f>event_tree[[#This Row],[fire_frequency]]*event_tree[[#This Row],[probability_of_scenario]]</f>
        <v>7.8597675000000065E-8</v>
      </c>
      <c r="AH127">
        <f>event_tree[[#This Row],[total_casualty]]*event_tree[[#This Row],[fire_probability]]</f>
        <v>0</v>
      </c>
    </row>
    <row r="128" spans="1:34" x14ac:dyDescent="0.25">
      <c r="A128">
        <v>127</v>
      </c>
      <c r="B128" t="str" cm="1">
        <f t="array" ref="B12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8" t="str" cm="1">
        <f t="array" ref="C12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8" t="str" cm="1">
        <f t="array" ref="D12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28" t="str" cm="1">
        <f t="array" ref="E128">INDEX(sprinkler[sprinkler],
  1+MOD(QUOTIENT(ROW()-ROW($B$2),
     ROWS(manual_suppression[manual_suppression])*
     ROWS(door_open[door_open])*
     ROWS(smoke_seal[smoke_seal])
  ),
  ROWS(sprinkler[sprinkler]))
)</f>
        <v>Fail</v>
      </c>
      <c r="F128" t="str" cm="1">
        <f t="array" ref="F128">INDEX(manual_suppression[manual_suppression],
  1+MOD(QUOTIENT(ROW()-ROW($B$2),
     ROWS(door_open[door_open])*
     ROWS(smoke_seal[smoke_seal])
  ),
  ROWS(manual_suppression[manual_suppression]))
)</f>
        <v>Suppress</v>
      </c>
      <c r="G128" t="str" cm="1">
        <f t="array" ref="G128">INDEX(door_open[door_open],
  1+MOD(QUOTIENT(ROW()-ROW($B$2),
     ROWS(smoke_seal[smoke_seal])
  ),
  ROWS(door_open[door_open]))
)</f>
        <v>Closed</v>
      </c>
      <c r="H128" t="str" cm="1">
        <f t="array" ref="H128">INDEX(smoke_seal[smoke_seal],
  1+MOD(ROW()-ROW($B$2), ROWS(smoke_seal[smoke_seal]))
)</f>
        <v>Fail</v>
      </c>
      <c r="I128" t="str">
        <f>IF(event_tree[[#This Row],[door_open]]="Open","Open",IF(event_tree[[#This Row],[smoke_seal]]="Success","Close","Part"))</f>
        <v>Part</v>
      </c>
      <c r="J128">
        <f>IF(B128="apartment",Inputs!$I$7,Inputs!$I$6)</f>
        <v>1.2999999999999999E-3</v>
      </c>
      <c r="K128">
        <f>PRODUCT(
  INDEX(fire_location[Probability],MATCH($B128,fire_location[fire_location],0)),
  INDEX(smoke_detection_apt[Probability],MATCH($C128,smoke_detection_apt[smoke_detection_apt],0)),
  INDEX(smoke_detection_corridor[Probability],MATCH($D128,smoke_detection_corridor[smoke_detection_corridor],0)),
  INDEX(sprinkler[Probability],MATCH($E128,sprinkler[sprinkler],0)),
  INDEX(manual_suppression[Probability],MATCH($F128,manual_suppression[manual_suppression],0)),
  INDEX(door_open[Probability],MATCH($G128,door_open[door_open],0)),
  INDEX(smoke_seal[Probability],MATCH($H128,smoke_seal[smoke_seal],0))
)</f>
        <v>7.596225000000006E-5</v>
      </c>
      <c r="L12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28" t="str">
        <f>event_tree[[#This Row],[ASET_scenario]]&amp;Inputs!$F$8</f>
        <v>X6</v>
      </c>
      <c r="N12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2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28" t="str">
        <f>event_tree[[#This Row],[fire_location]]&amp;Inputs!$F$8</f>
        <v>Corridor6</v>
      </c>
      <c r="Q12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28">
        <f>IF(event_tree[[#This Row],[fire_location]]="Apartment",Inputs!$F$11,Inputs!$F$12)</f>
        <v>600</v>
      </c>
      <c r="S128">
        <f>10+Inputs!$F$8</f>
        <v>16</v>
      </c>
      <c r="T12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28">
        <f>IF(event_tree[[#This Row],[fire_location]]="Apartment",Inputs!$F$12,Inputs!$F$11)</f>
        <v>60</v>
      </c>
      <c r="V128">
        <f>10+Inputs!$F$8</f>
        <v>16</v>
      </c>
      <c r="W128">
        <f>30</f>
        <v>30</v>
      </c>
      <c r="X128" t="str">
        <f>IF(event_tree[[#This Row],[ASET_scenario]]="X","extinguish",
   event_tree[[#This Row],[SOU_tdet]] + event_tree[[#This Row],[SOU_tpre]] + event_tree[[#This Row],[tnot]])</f>
        <v>extinguish</v>
      </c>
      <c r="Y128" t="str">
        <f>IF(event_tree[[#This Row],[ASET_scenario]]="X","extinguish",
   event_tree[[#This Row],[SOU_inside_RSET]] + event_tree[[#This Row],[SOU_ttrav]])</f>
        <v>extinguish</v>
      </c>
      <c r="Z12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28" t="str">
        <f>IF(event_tree[[#This Row],[ASET_scenario]]="X","extinguish", event_tree[[#This Row],[apt_ASET]]/event_tree[[#This Row],[SOU_inside_RSET]])</f>
        <v>extinguish</v>
      </c>
      <c r="AB128" t="str">
        <f>IF(event_tree[[#This Row],[ASET_scenario]]="X","extinguish",event_tree[[#This Row],[cor_ASET]]/event_tree[[#This Row],[SOU_outside_RSET]])</f>
        <v>extinguish</v>
      </c>
      <c r="AC128" t="str">
        <f>IF(event_tree[[#This Row],[ASET_scenario]]="X","extinguish",event_tree[[#This Row],[cor_ASET]]/event_tree[[#This Row],[remote_RSET]])</f>
        <v>extinguish</v>
      </c>
      <c r="AD128" t="b">
        <f>IF(OR(event_tree[[#This Row],[SOU_inside_ratio]]&lt;1,event_tree[[#This Row],[SOU_outside_ratio]]&lt;1),2)</f>
        <v>0</v>
      </c>
      <c r="AE128" t="b">
        <f>IF(event_tree[[#This Row],[remote_ratio]]&lt;1,2*(Inputs!$F$5-1))</f>
        <v>0</v>
      </c>
      <c r="AF128">
        <f>event_tree[[#This Row],[SOU_casualty]]+event_tree[[#This Row],[remote_casualty]]</f>
        <v>0</v>
      </c>
      <c r="AG128">
        <f>event_tree[[#This Row],[fire_frequency]]*event_tree[[#This Row],[probability_of_scenario]]</f>
        <v>9.8750925000000067E-8</v>
      </c>
      <c r="AH128">
        <f>event_tree[[#This Row],[total_casualty]]*event_tree[[#This Row],[fire_probability]]</f>
        <v>0</v>
      </c>
    </row>
    <row r="129" spans="1:34" x14ac:dyDescent="0.25">
      <c r="A129">
        <v>128</v>
      </c>
      <c r="B129" t="str" cm="1">
        <f t="array" ref="B12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29" t="str" cm="1">
        <f t="array" ref="C12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29" t="str" cm="1">
        <f t="array" ref="D12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29" t="str" cm="1">
        <f t="array" ref="E129">INDEX(sprinkler[sprinkler],
  1+MOD(QUOTIENT(ROW()-ROW($B$2),
     ROWS(manual_suppression[manual_suppression])*
     ROWS(door_open[door_open])*
     ROWS(smoke_seal[smoke_seal])
  ),
  ROWS(sprinkler[sprinkler]))
)</f>
        <v>Fail</v>
      </c>
      <c r="F129" t="str" cm="1">
        <f t="array" ref="F129">INDEX(manual_suppression[manual_suppression],
  1+MOD(QUOTIENT(ROW()-ROW($B$2),
     ROWS(door_open[door_open])*
     ROWS(smoke_seal[smoke_seal])
  ),
  ROWS(manual_suppression[manual_suppression]))
)</f>
        <v>Suppress</v>
      </c>
      <c r="G129" t="str" cm="1">
        <f t="array" ref="G129">INDEX(door_open[door_open],
  1+MOD(QUOTIENT(ROW()-ROW($B$2),
     ROWS(smoke_seal[smoke_seal])
  ),
  ROWS(door_open[door_open]))
)</f>
        <v>Closed</v>
      </c>
      <c r="H129" t="str" cm="1">
        <f t="array" ref="H129">INDEX(smoke_seal[smoke_seal],
  1+MOD(ROW()-ROW($B$2), ROWS(smoke_seal[smoke_seal]))
)</f>
        <v>Success</v>
      </c>
      <c r="I129" t="str">
        <f>IF(event_tree[[#This Row],[door_open]]="Open","Open",IF(event_tree[[#This Row],[smoke_seal]]="Success","Close","Part"))</f>
        <v>Close</v>
      </c>
      <c r="J129">
        <f>IF(B129="apartment",Inputs!$I$7,Inputs!$I$6)</f>
        <v>1.2999999999999999E-3</v>
      </c>
      <c r="K129">
        <f>PRODUCT(
  INDEX(fire_location[Probability],MATCH($B129,fire_location[fire_location],0)),
  INDEX(smoke_detection_apt[Probability],MATCH($C129,smoke_detection_apt[smoke_detection_apt],0)),
  INDEX(smoke_detection_corridor[Probability],MATCH($D129,smoke_detection_corridor[smoke_detection_corridor],0)),
  INDEX(sprinkler[Probability],MATCH($E129,sprinkler[sprinkler],0)),
  INDEX(manual_suppression[Probability],MATCH($F129,manual_suppression[manual_suppression],0)),
  INDEX(door_open[Probability],MATCH($G129,door_open[door_open],0)),
  INDEX(smoke_seal[Probability],MATCH($H129,smoke_seal[smoke_seal],0))
)</f>
        <v>1.4107275000000013E-4</v>
      </c>
      <c r="L12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29" t="str">
        <f>event_tree[[#This Row],[ASET_scenario]]&amp;Inputs!$F$8</f>
        <v>X6</v>
      </c>
      <c r="N12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2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29" t="str">
        <f>event_tree[[#This Row],[fire_location]]&amp;Inputs!$F$8</f>
        <v>Corridor6</v>
      </c>
      <c r="Q12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29">
        <f>IF(event_tree[[#This Row],[fire_location]]="Apartment",Inputs!$F$11,Inputs!$F$12)</f>
        <v>600</v>
      </c>
      <c r="S129">
        <f>10+Inputs!$F$8</f>
        <v>16</v>
      </c>
      <c r="T12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29">
        <f>IF(event_tree[[#This Row],[fire_location]]="Apartment",Inputs!$F$12,Inputs!$F$11)</f>
        <v>60</v>
      </c>
      <c r="V129">
        <f>10+Inputs!$F$8</f>
        <v>16</v>
      </c>
      <c r="W129">
        <f>30</f>
        <v>30</v>
      </c>
      <c r="X129" t="str">
        <f>IF(event_tree[[#This Row],[ASET_scenario]]="X","extinguish",
   event_tree[[#This Row],[SOU_tdet]] + event_tree[[#This Row],[SOU_tpre]] + event_tree[[#This Row],[tnot]])</f>
        <v>extinguish</v>
      </c>
      <c r="Y129" t="str">
        <f>IF(event_tree[[#This Row],[ASET_scenario]]="X","extinguish",
   event_tree[[#This Row],[SOU_inside_RSET]] + event_tree[[#This Row],[SOU_ttrav]])</f>
        <v>extinguish</v>
      </c>
      <c r="Z12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29" t="str">
        <f>IF(event_tree[[#This Row],[ASET_scenario]]="X","extinguish", event_tree[[#This Row],[apt_ASET]]/event_tree[[#This Row],[SOU_inside_RSET]])</f>
        <v>extinguish</v>
      </c>
      <c r="AB129" t="str">
        <f>IF(event_tree[[#This Row],[ASET_scenario]]="X","extinguish",event_tree[[#This Row],[cor_ASET]]/event_tree[[#This Row],[SOU_outside_RSET]])</f>
        <v>extinguish</v>
      </c>
      <c r="AC129" t="str">
        <f>IF(event_tree[[#This Row],[ASET_scenario]]="X","extinguish",event_tree[[#This Row],[cor_ASET]]/event_tree[[#This Row],[remote_RSET]])</f>
        <v>extinguish</v>
      </c>
      <c r="AD129" t="b">
        <f>IF(OR(event_tree[[#This Row],[SOU_inside_ratio]]&lt;1,event_tree[[#This Row],[SOU_outside_ratio]]&lt;1),2)</f>
        <v>0</v>
      </c>
      <c r="AE129" t="b">
        <f>IF(event_tree[[#This Row],[remote_ratio]]&lt;1,2*(Inputs!$F$5-1))</f>
        <v>0</v>
      </c>
      <c r="AF129">
        <f>event_tree[[#This Row],[SOU_casualty]]+event_tree[[#This Row],[remote_casualty]]</f>
        <v>0</v>
      </c>
      <c r="AG129">
        <f>event_tree[[#This Row],[fire_frequency]]*event_tree[[#This Row],[probability_of_scenario]]</f>
        <v>1.8339457500000016E-7</v>
      </c>
      <c r="AH129">
        <f>event_tree[[#This Row],[total_casualty]]*event_tree[[#This Row],[fire_probability]]</f>
        <v>0</v>
      </c>
    </row>
    <row r="130" spans="1:34" x14ac:dyDescent="0.25">
      <c r="A130">
        <v>129</v>
      </c>
      <c r="B130" t="str" cm="1">
        <f t="array" ref="B13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0" t="str" cm="1">
        <f t="array" ref="C13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0" t="str" cm="1">
        <f t="array" ref="D13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0" t="str" cm="1">
        <f t="array" ref="E130">INDEX(sprinkler[sprinkler],
  1+MOD(QUOTIENT(ROW()-ROW($B$2),
     ROWS(manual_suppression[manual_suppression])*
     ROWS(door_open[door_open])*
     ROWS(smoke_seal[smoke_seal])
  ),
  ROWS(sprinkler[sprinkler]))
)</f>
        <v>Control</v>
      </c>
      <c r="F130" t="str" cm="1">
        <f t="array" ref="F130">INDEX(manual_suppression[manual_suppression],
  1+MOD(QUOTIENT(ROW()-ROW($B$2),
     ROWS(door_open[door_open])*
     ROWS(smoke_seal[smoke_seal])
  ),
  ROWS(manual_suppression[manual_suppression]))
)</f>
        <v>Fail</v>
      </c>
      <c r="G130" t="str" cm="1">
        <f t="array" ref="G130">INDEX(door_open[door_open],
  1+MOD(QUOTIENT(ROW()-ROW($B$2),
     ROWS(smoke_seal[smoke_seal])
  ),
  ROWS(door_open[door_open]))
)</f>
        <v>Open</v>
      </c>
      <c r="H130" t="str" cm="1">
        <f t="array" ref="H130">INDEX(smoke_seal[smoke_seal],
  1+MOD(ROW()-ROW($B$2), ROWS(smoke_seal[smoke_seal]))
)</f>
        <v>Fail</v>
      </c>
      <c r="I130" t="str">
        <f>IF(event_tree[[#This Row],[door_open]]="Open","Open",IF(event_tree[[#This Row],[smoke_seal]]="Success","Close","Part"))</f>
        <v>Open</v>
      </c>
      <c r="J130">
        <f>IF(B130="apartment",Inputs!$I$7,Inputs!$I$6)</f>
        <v>1.2999999999999999E-3</v>
      </c>
      <c r="K130">
        <f>PRODUCT(
  INDEX(fire_location[Probability],MATCH($B130,fire_location[fire_location],0)),
  INDEX(smoke_detection_apt[Probability],MATCH($C130,smoke_detection_apt[smoke_detection_apt],0)),
  INDEX(smoke_detection_corridor[Probability],MATCH($D130,smoke_detection_corridor[smoke_detection_corridor],0)),
  INDEX(sprinkler[Probability],MATCH($E130,sprinkler[sprinkler],0)),
  INDEX(manual_suppression[Probability],MATCH($F130,manual_suppression[manual_suppression],0)),
  INDEX(door_open[Probability],MATCH($G130,door_open[door_open],0)),
  INDEX(smoke_seal[Probability],MATCH($H130,smoke_seal[smoke_seal],0))
)</f>
        <v>7.3624950000000051E-5</v>
      </c>
      <c r="L13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J</v>
      </c>
      <c r="M130" t="str">
        <f>event_tree[[#This Row],[ASET_scenario]]&amp;Inputs!$F$8</f>
        <v>J6</v>
      </c>
      <c r="N130">
        <f>IF(OR(event_tree[[#This Row],[sprinkler]]="Extinguish",event_tree[[#This Row],[manual_suppression]]="Suppress"),"extinguish",_xlfn.XLOOKUP(event_tree[[#This Row],[ASET_helper1]],ASET_data[ASET_helper1],ASET_data[apt_ASET]))</f>
        <v>80</v>
      </c>
      <c r="O130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30" t="str">
        <f>event_tree[[#This Row],[fire_location]]&amp;Inputs!$F$8</f>
        <v>Corridor6</v>
      </c>
      <c r="Q13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60</v>
      </c>
      <c r="R130">
        <f>IF(event_tree[[#This Row],[fire_location]]="Apartment",Inputs!$F$11,Inputs!$F$12)</f>
        <v>600</v>
      </c>
      <c r="S130">
        <f>10+Inputs!$F$8</f>
        <v>16</v>
      </c>
      <c r="T13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360</v>
      </c>
      <c r="U130">
        <f>IF(event_tree[[#This Row],[fire_location]]="Apartment",Inputs!$F$12,Inputs!$F$11)</f>
        <v>60</v>
      </c>
      <c r="V130">
        <f>10+Inputs!$F$8</f>
        <v>16</v>
      </c>
      <c r="W130">
        <f>30</f>
        <v>30</v>
      </c>
      <c r="X130">
        <f>IF(event_tree[[#This Row],[ASET_scenario]]="X","extinguish",
   event_tree[[#This Row],[SOU_tdet]] + event_tree[[#This Row],[SOU_tpre]] + event_tree[[#This Row],[tnot]])</f>
        <v>690</v>
      </c>
      <c r="Y130">
        <f>IF(event_tree[[#This Row],[ASET_scenario]]="X","extinguish",
   event_tree[[#This Row],[SOU_inside_RSET]] + event_tree[[#This Row],[SOU_ttrav]])</f>
        <v>706</v>
      </c>
      <c r="Z130">
        <f>IF(event_tree[[#This Row],[ASET_scenario]]="X","extinguish",
   event_tree[[#This Row],[remote_tdet]] + event_tree[[#This Row],[remote_tpre]] + event_tree[[#This Row],[remote_ttrav]] + event_tree[[#This Row],[tnot]])</f>
        <v>466</v>
      </c>
      <c r="AA130">
        <f>IF(event_tree[[#This Row],[ASET_scenario]]="X","extinguish", event_tree[[#This Row],[apt_ASET]]/event_tree[[#This Row],[SOU_inside_RSET]])</f>
        <v>0.11594202898550725</v>
      </c>
      <c r="AB130">
        <f>IF(event_tree[[#This Row],[ASET_scenario]]="X","extinguish",event_tree[[#This Row],[cor_ASET]]/event_tree[[#This Row],[SOU_outside_RSET]])</f>
        <v>3.1161473087818695E-2</v>
      </c>
      <c r="AC130">
        <f>IF(event_tree[[#This Row],[ASET_scenario]]="X","extinguish",event_tree[[#This Row],[cor_ASET]]/event_tree[[#This Row],[remote_RSET]])</f>
        <v>4.7210300429184553E-2</v>
      </c>
      <c r="AD130">
        <f>IF(OR(event_tree[[#This Row],[SOU_inside_ratio]]&lt;1,event_tree[[#This Row],[SOU_outside_ratio]]&lt;1),2)</f>
        <v>2</v>
      </c>
      <c r="AE130">
        <f>IF(event_tree[[#This Row],[remote_ratio]]&lt;1,2*(Inputs!$F$5-1))</f>
        <v>10</v>
      </c>
      <c r="AF130">
        <f>event_tree[[#This Row],[SOU_casualty]]+event_tree[[#This Row],[remote_casualty]]</f>
        <v>12</v>
      </c>
      <c r="AG130">
        <f>event_tree[[#This Row],[fire_frequency]]*event_tree[[#This Row],[probability_of_scenario]]</f>
        <v>9.571243500000006E-8</v>
      </c>
      <c r="AH130">
        <f>event_tree[[#This Row],[total_casualty]]*event_tree[[#This Row],[fire_probability]]</f>
        <v>1.1485492200000008E-6</v>
      </c>
    </row>
    <row r="131" spans="1:34" x14ac:dyDescent="0.25">
      <c r="A131">
        <v>130</v>
      </c>
      <c r="B131" t="str" cm="1">
        <f t="array" ref="B13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1" t="str" cm="1">
        <f t="array" ref="C13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1" t="str" cm="1">
        <f t="array" ref="D13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1" t="str" cm="1">
        <f t="array" ref="E131">INDEX(sprinkler[sprinkler],
  1+MOD(QUOTIENT(ROW()-ROW($B$2),
     ROWS(manual_suppression[manual_suppression])*
     ROWS(door_open[door_open])*
     ROWS(smoke_seal[smoke_seal])
  ),
  ROWS(sprinkler[sprinkler]))
)</f>
        <v>Control</v>
      </c>
      <c r="F131" t="str" cm="1">
        <f t="array" ref="F131">INDEX(manual_suppression[manual_suppression],
  1+MOD(QUOTIENT(ROW()-ROW($B$2),
     ROWS(door_open[door_open])*
     ROWS(smoke_seal[smoke_seal])
  ),
  ROWS(manual_suppression[manual_suppression]))
)</f>
        <v>Fail</v>
      </c>
      <c r="G131" t="str" cm="1">
        <f t="array" ref="G131">INDEX(door_open[door_open],
  1+MOD(QUOTIENT(ROW()-ROW($B$2),
     ROWS(smoke_seal[smoke_seal])
  ),
  ROWS(door_open[door_open]))
)</f>
        <v>Open</v>
      </c>
      <c r="H131" t="str" cm="1">
        <f t="array" ref="H131">INDEX(smoke_seal[smoke_seal],
  1+MOD(ROW()-ROW($B$2), ROWS(smoke_seal[smoke_seal]))
)</f>
        <v>Success</v>
      </c>
      <c r="I131" t="str">
        <f>IF(event_tree[[#This Row],[door_open]]="Open","Open",IF(event_tree[[#This Row],[smoke_seal]]="Success","Close","Part"))</f>
        <v>Open</v>
      </c>
      <c r="J131">
        <f>IF(B131="apartment",Inputs!$I$7,Inputs!$I$6)</f>
        <v>1.2999999999999999E-3</v>
      </c>
      <c r="K131">
        <f>PRODUCT(
  INDEX(fire_location[Probability],MATCH($B131,fire_location[fire_location],0)),
  INDEX(smoke_detection_apt[Probability],MATCH($C131,smoke_detection_apt[smoke_detection_apt],0)),
  INDEX(smoke_detection_corridor[Probability],MATCH($D131,smoke_detection_corridor[smoke_detection_corridor],0)),
  INDEX(sprinkler[Probability],MATCH($E131,sprinkler[sprinkler],0)),
  INDEX(manual_suppression[Probability],MATCH($F131,manual_suppression[manual_suppression],0)),
  INDEX(door_open[Probability],MATCH($G131,door_open[door_open],0)),
  INDEX(smoke_seal[Probability],MATCH($H131,smoke_seal[smoke_seal],0))
)</f>
        <v>1.367320500000001E-4</v>
      </c>
      <c r="L13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J</v>
      </c>
      <c r="M131" t="str">
        <f>event_tree[[#This Row],[ASET_scenario]]&amp;Inputs!$F$8</f>
        <v>J6</v>
      </c>
      <c r="N131">
        <f>IF(OR(event_tree[[#This Row],[sprinkler]]="Extinguish",event_tree[[#This Row],[manual_suppression]]="Suppress"),"extinguish",_xlfn.XLOOKUP(event_tree[[#This Row],[ASET_helper1]],ASET_data[ASET_helper1],ASET_data[apt_ASET]))</f>
        <v>80</v>
      </c>
      <c r="O131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31" t="str">
        <f>event_tree[[#This Row],[fire_location]]&amp;Inputs!$F$8</f>
        <v>Corridor6</v>
      </c>
      <c r="Q13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60</v>
      </c>
      <c r="R131">
        <f>IF(event_tree[[#This Row],[fire_location]]="Apartment",Inputs!$F$11,Inputs!$F$12)</f>
        <v>600</v>
      </c>
      <c r="S131">
        <f>10+Inputs!$F$8</f>
        <v>16</v>
      </c>
      <c r="T13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360</v>
      </c>
      <c r="U131">
        <f>IF(event_tree[[#This Row],[fire_location]]="Apartment",Inputs!$F$12,Inputs!$F$11)</f>
        <v>60</v>
      </c>
      <c r="V131">
        <f>10+Inputs!$F$8</f>
        <v>16</v>
      </c>
      <c r="W131">
        <f>30</f>
        <v>30</v>
      </c>
      <c r="X131">
        <f>IF(event_tree[[#This Row],[ASET_scenario]]="X","extinguish",
   event_tree[[#This Row],[SOU_tdet]] + event_tree[[#This Row],[SOU_tpre]] + event_tree[[#This Row],[tnot]])</f>
        <v>690</v>
      </c>
      <c r="Y131">
        <f>IF(event_tree[[#This Row],[ASET_scenario]]="X","extinguish",
   event_tree[[#This Row],[SOU_inside_RSET]] + event_tree[[#This Row],[SOU_ttrav]])</f>
        <v>706</v>
      </c>
      <c r="Z131">
        <f>IF(event_tree[[#This Row],[ASET_scenario]]="X","extinguish",
   event_tree[[#This Row],[remote_tdet]] + event_tree[[#This Row],[remote_tpre]] + event_tree[[#This Row],[remote_ttrav]] + event_tree[[#This Row],[tnot]])</f>
        <v>466</v>
      </c>
      <c r="AA131">
        <f>IF(event_tree[[#This Row],[ASET_scenario]]="X","extinguish", event_tree[[#This Row],[apt_ASET]]/event_tree[[#This Row],[SOU_inside_RSET]])</f>
        <v>0.11594202898550725</v>
      </c>
      <c r="AB131">
        <f>IF(event_tree[[#This Row],[ASET_scenario]]="X","extinguish",event_tree[[#This Row],[cor_ASET]]/event_tree[[#This Row],[SOU_outside_RSET]])</f>
        <v>3.1161473087818695E-2</v>
      </c>
      <c r="AC131">
        <f>IF(event_tree[[#This Row],[ASET_scenario]]="X","extinguish",event_tree[[#This Row],[cor_ASET]]/event_tree[[#This Row],[remote_RSET]])</f>
        <v>4.7210300429184553E-2</v>
      </c>
      <c r="AD131">
        <f>IF(OR(event_tree[[#This Row],[SOU_inside_ratio]]&lt;1,event_tree[[#This Row],[SOU_outside_ratio]]&lt;1),2)</f>
        <v>2</v>
      </c>
      <c r="AE131">
        <f>IF(event_tree[[#This Row],[remote_ratio]]&lt;1,2*(Inputs!$F$5-1))</f>
        <v>10</v>
      </c>
      <c r="AF131">
        <f>event_tree[[#This Row],[SOU_casualty]]+event_tree[[#This Row],[remote_casualty]]</f>
        <v>12</v>
      </c>
      <c r="AG131">
        <f>event_tree[[#This Row],[fire_frequency]]*event_tree[[#This Row],[probability_of_scenario]]</f>
        <v>1.7775166500000012E-7</v>
      </c>
      <c r="AH131">
        <f>event_tree[[#This Row],[total_casualty]]*event_tree[[#This Row],[fire_probability]]</f>
        <v>2.1330199800000015E-6</v>
      </c>
    </row>
    <row r="132" spans="1:34" x14ac:dyDescent="0.25">
      <c r="A132">
        <v>131</v>
      </c>
      <c r="B132" t="str" cm="1">
        <f t="array" ref="B13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2" t="str" cm="1">
        <f t="array" ref="C13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2" t="str" cm="1">
        <f t="array" ref="D13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2" t="str" cm="1">
        <f t="array" ref="E132">INDEX(sprinkler[sprinkler],
  1+MOD(QUOTIENT(ROW()-ROW($B$2),
     ROWS(manual_suppression[manual_suppression])*
     ROWS(door_open[door_open])*
     ROWS(smoke_seal[smoke_seal])
  ),
  ROWS(sprinkler[sprinkler]))
)</f>
        <v>Control</v>
      </c>
      <c r="F132" t="str" cm="1">
        <f t="array" ref="F132">INDEX(manual_suppression[manual_suppression],
  1+MOD(QUOTIENT(ROW()-ROW($B$2),
     ROWS(door_open[door_open])*
     ROWS(smoke_seal[smoke_seal])
  ),
  ROWS(manual_suppression[manual_suppression]))
)</f>
        <v>Fail</v>
      </c>
      <c r="G132" t="str" cm="1">
        <f t="array" ref="G132">INDEX(door_open[door_open],
  1+MOD(QUOTIENT(ROW()-ROW($B$2),
     ROWS(smoke_seal[smoke_seal])
  ),
  ROWS(door_open[door_open]))
)</f>
        <v>Closed</v>
      </c>
      <c r="H132" t="str" cm="1">
        <f t="array" ref="H132">INDEX(smoke_seal[smoke_seal],
  1+MOD(ROW()-ROW($B$2), ROWS(smoke_seal[smoke_seal]))
)</f>
        <v>Fail</v>
      </c>
      <c r="I132" t="str">
        <f>IF(event_tree[[#This Row],[door_open]]="Open","Open",IF(event_tree[[#This Row],[smoke_seal]]="Success","Close","Part"))</f>
        <v>Part</v>
      </c>
      <c r="J132">
        <f>IF(B132="apartment",Inputs!$I$7,Inputs!$I$6)</f>
        <v>1.2999999999999999E-3</v>
      </c>
      <c r="K132">
        <f>PRODUCT(
  INDEX(fire_location[Probability],MATCH($B132,fire_location[fire_location],0)),
  INDEX(smoke_detection_apt[Probability],MATCH($C132,smoke_detection_apt[smoke_detection_apt],0)),
  INDEX(smoke_detection_corridor[Probability],MATCH($D132,smoke_detection_corridor[smoke_detection_corridor],0)),
  INDEX(sprinkler[Probability],MATCH($E132,sprinkler[sprinkler],0)),
  INDEX(manual_suppression[Probability],MATCH($F132,manual_suppression[manual_suppression],0)),
  INDEX(door_open[Probability],MATCH($G132,door_open[door_open],0)),
  INDEX(smoke_seal[Probability],MATCH($H132,smoke_seal[smoke_seal],0))
)</f>
        <v>1.717915500000001E-4</v>
      </c>
      <c r="L13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L</v>
      </c>
      <c r="M132" t="str">
        <f>event_tree[[#This Row],[ASET_scenario]]&amp;Inputs!$F$8</f>
        <v>L6</v>
      </c>
      <c r="N132">
        <f>IF(OR(event_tree[[#This Row],[sprinkler]]="Extinguish",event_tree[[#This Row],[manual_suppression]]="Suppress"),"extinguish",_xlfn.XLOOKUP(event_tree[[#This Row],[ASET_helper1]],ASET_data[ASET_helper1],ASET_data[apt_ASET]))</f>
        <v>96</v>
      </c>
      <c r="O132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32" t="str">
        <f>event_tree[[#This Row],[fire_location]]&amp;Inputs!$F$8</f>
        <v>Corridor6</v>
      </c>
      <c r="Q13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67</v>
      </c>
      <c r="R132">
        <f>IF(event_tree[[#This Row],[fire_location]]="Apartment",Inputs!$F$11,Inputs!$F$12)</f>
        <v>600</v>
      </c>
      <c r="S132">
        <f>10+Inputs!$F$8</f>
        <v>16</v>
      </c>
      <c r="T13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367</v>
      </c>
      <c r="U132">
        <f>IF(event_tree[[#This Row],[fire_location]]="Apartment",Inputs!$F$12,Inputs!$F$11)</f>
        <v>60</v>
      </c>
      <c r="V132">
        <f>10+Inputs!$F$8</f>
        <v>16</v>
      </c>
      <c r="W132">
        <f>30</f>
        <v>30</v>
      </c>
      <c r="X132">
        <f>IF(event_tree[[#This Row],[ASET_scenario]]="X","extinguish",
   event_tree[[#This Row],[SOU_tdet]] + event_tree[[#This Row],[SOU_tpre]] + event_tree[[#This Row],[tnot]])</f>
        <v>697</v>
      </c>
      <c r="Y132">
        <f>IF(event_tree[[#This Row],[ASET_scenario]]="X","extinguish",
   event_tree[[#This Row],[SOU_inside_RSET]] + event_tree[[#This Row],[SOU_ttrav]])</f>
        <v>713</v>
      </c>
      <c r="Z132">
        <f>IF(event_tree[[#This Row],[ASET_scenario]]="X","extinguish",
   event_tree[[#This Row],[remote_tdet]] + event_tree[[#This Row],[remote_tpre]] + event_tree[[#This Row],[remote_ttrav]] + event_tree[[#This Row],[tnot]])</f>
        <v>473</v>
      </c>
      <c r="AA132">
        <f>IF(event_tree[[#This Row],[ASET_scenario]]="X","extinguish", event_tree[[#This Row],[apt_ASET]]/event_tree[[#This Row],[SOU_inside_RSET]])</f>
        <v>0.13773314203730272</v>
      </c>
      <c r="AB132">
        <f>IF(event_tree[[#This Row],[ASET_scenario]]="X","extinguish",event_tree[[#This Row],[cor_ASET]]/event_tree[[#This Row],[SOU_outside_RSET]])</f>
        <v>3.0855539971949508E-2</v>
      </c>
      <c r="AC132">
        <f>IF(event_tree[[#This Row],[ASET_scenario]]="X","extinguish",event_tree[[#This Row],[cor_ASET]]/event_tree[[#This Row],[remote_RSET]])</f>
        <v>4.6511627906976744E-2</v>
      </c>
      <c r="AD132">
        <f>IF(OR(event_tree[[#This Row],[SOU_inside_ratio]]&lt;1,event_tree[[#This Row],[SOU_outside_ratio]]&lt;1),2)</f>
        <v>2</v>
      </c>
      <c r="AE132">
        <f>IF(event_tree[[#This Row],[remote_ratio]]&lt;1,2*(Inputs!$F$5-1))</f>
        <v>10</v>
      </c>
      <c r="AF132">
        <f>event_tree[[#This Row],[SOU_casualty]]+event_tree[[#This Row],[remote_casualty]]</f>
        <v>12</v>
      </c>
      <c r="AG132">
        <f>event_tree[[#This Row],[fire_frequency]]*event_tree[[#This Row],[probability_of_scenario]]</f>
        <v>2.2332901500000013E-7</v>
      </c>
      <c r="AH132">
        <f>event_tree[[#This Row],[total_casualty]]*event_tree[[#This Row],[fire_probability]]</f>
        <v>2.6799481800000015E-6</v>
      </c>
    </row>
    <row r="133" spans="1:34" x14ac:dyDescent="0.25">
      <c r="A133">
        <v>132</v>
      </c>
      <c r="B133" t="str" cm="1">
        <f t="array" ref="B13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3" t="str" cm="1">
        <f t="array" ref="C13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3" t="str" cm="1">
        <f t="array" ref="D13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3" t="str" cm="1">
        <f t="array" ref="E133">INDEX(sprinkler[sprinkler],
  1+MOD(QUOTIENT(ROW()-ROW($B$2),
     ROWS(manual_suppression[manual_suppression])*
     ROWS(door_open[door_open])*
     ROWS(smoke_seal[smoke_seal])
  ),
  ROWS(sprinkler[sprinkler]))
)</f>
        <v>Control</v>
      </c>
      <c r="F133" t="str" cm="1">
        <f t="array" ref="F133">INDEX(manual_suppression[manual_suppression],
  1+MOD(QUOTIENT(ROW()-ROW($B$2),
     ROWS(door_open[door_open])*
     ROWS(smoke_seal[smoke_seal])
  ),
  ROWS(manual_suppression[manual_suppression]))
)</f>
        <v>Fail</v>
      </c>
      <c r="G133" t="str" cm="1">
        <f t="array" ref="G133">INDEX(door_open[door_open],
  1+MOD(QUOTIENT(ROW()-ROW($B$2),
     ROWS(smoke_seal[smoke_seal])
  ),
  ROWS(door_open[door_open]))
)</f>
        <v>Closed</v>
      </c>
      <c r="H133" t="str" cm="1">
        <f t="array" ref="H133">INDEX(smoke_seal[smoke_seal],
  1+MOD(ROW()-ROW($B$2), ROWS(smoke_seal[smoke_seal]))
)</f>
        <v>Success</v>
      </c>
      <c r="I133" t="str">
        <f>IF(event_tree[[#This Row],[door_open]]="Open","Open",IF(event_tree[[#This Row],[smoke_seal]]="Success","Close","Part"))</f>
        <v>Close</v>
      </c>
      <c r="J133">
        <f>IF(B133="apartment",Inputs!$I$7,Inputs!$I$6)</f>
        <v>1.2999999999999999E-3</v>
      </c>
      <c r="K133">
        <f>PRODUCT(
  INDEX(fire_location[Probability],MATCH($B133,fire_location[fire_location],0)),
  INDEX(smoke_detection_apt[Probability],MATCH($C133,smoke_detection_apt[smoke_detection_apt],0)),
  INDEX(smoke_detection_corridor[Probability],MATCH($D133,smoke_detection_corridor[smoke_detection_corridor],0)),
  INDEX(sprinkler[Probability],MATCH($E133,sprinkler[sprinkler],0)),
  INDEX(manual_suppression[Probability],MATCH($F133,manual_suppression[manual_suppression],0)),
  INDEX(door_open[Probability],MATCH($G133,door_open[door_open],0)),
  INDEX(smoke_seal[Probability],MATCH($H133,smoke_seal[smoke_seal],0))
)</f>
        <v>3.190414500000002E-4</v>
      </c>
      <c r="L13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K</v>
      </c>
      <c r="M133" t="str">
        <f>event_tree[[#This Row],[ASET_scenario]]&amp;Inputs!$F$8</f>
        <v>K6</v>
      </c>
      <c r="N133">
        <f>IF(OR(event_tree[[#This Row],[sprinkler]]="Extinguish",event_tree[[#This Row],[manual_suppression]]="Suppress"),"extinguish",_xlfn.XLOOKUP(event_tree[[#This Row],[ASET_helper1]],ASET_data[ASET_helper1],ASET_data[apt_ASET]))</f>
        <v>3600</v>
      </c>
      <c r="O133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33" t="str">
        <f>event_tree[[#This Row],[fire_location]]&amp;Inputs!$F$8</f>
        <v>Corridor6</v>
      </c>
      <c r="Q13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339</v>
      </c>
      <c r="R133">
        <f>IF(event_tree[[#This Row],[fire_location]]="Apartment",Inputs!$F$11,Inputs!$F$12)</f>
        <v>600</v>
      </c>
      <c r="S133">
        <f>10+Inputs!$F$8</f>
        <v>16</v>
      </c>
      <c r="T13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639</v>
      </c>
      <c r="U133">
        <f>IF(event_tree[[#This Row],[fire_location]]="Apartment",Inputs!$F$12,Inputs!$F$11)</f>
        <v>60</v>
      </c>
      <c r="V133">
        <f>10+Inputs!$F$8</f>
        <v>16</v>
      </c>
      <c r="W133">
        <f>30</f>
        <v>30</v>
      </c>
      <c r="X133">
        <f>IF(event_tree[[#This Row],[ASET_scenario]]="X","extinguish",
   event_tree[[#This Row],[SOU_tdet]] + event_tree[[#This Row],[SOU_tpre]] + event_tree[[#This Row],[tnot]])</f>
        <v>969</v>
      </c>
      <c r="Y133">
        <f>IF(event_tree[[#This Row],[ASET_scenario]]="X","extinguish",
   event_tree[[#This Row],[SOU_inside_RSET]] + event_tree[[#This Row],[SOU_ttrav]])</f>
        <v>985</v>
      </c>
      <c r="Z133">
        <f>IF(event_tree[[#This Row],[ASET_scenario]]="X","extinguish",
   event_tree[[#This Row],[remote_tdet]] + event_tree[[#This Row],[remote_tpre]] + event_tree[[#This Row],[remote_ttrav]] + event_tree[[#This Row],[tnot]])</f>
        <v>745</v>
      </c>
      <c r="AA133">
        <f>IF(event_tree[[#This Row],[ASET_scenario]]="X","extinguish", event_tree[[#This Row],[apt_ASET]]/event_tree[[#This Row],[SOU_inside_RSET]])</f>
        <v>3.7151702786377707</v>
      </c>
      <c r="AB133">
        <f>IF(event_tree[[#This Row],[ASET_scenario]]="X","extinguish",event_tree[[#This Row],[cor_ASET]]/event_tree[[#This Row],[SOU_outside_RSET]])</f>
        <v>2.2335025380710659E-2</v>
      </c>
      <c r="AC133">
        <f>IF(event_tree[[#This Row],[ASET_scenario]]="X","extinguish",event_tree[[#This Row],[cor_ASET]]/event_tree[[#This Row],[remote_RSET]])</f>
        <v>2.9530201342281879E-2</v>
      </c>
      <c r="AD133">
        <f>IF(OR(event_tree[[#This Row],[SOU_inside_ratio]]&lt;1,event_tree[[#This Row],[SOU_outside_ratio]]&lt;1),2)</f>
        <v>2</v>
      </c>
      <c r="AE133">
        <f>IF(event_tree[[#This Row],[remote_ratio]]&lt;1,2*(Inputs!$F$5-1))</f>
        <v>10</v>
      </c>
      <c r="AF133">
        <f>event_tree[[#This Row],[SOU_casualty]]+event_tree[[#This Row],[remote_casualty]]</f>
        <v>12</v>
      </c>
      <c r="AG133">
        <f>event_tree[[#This Row],[fire_frequency]]*event_tree[[#This Row],[probability_of_scenario]]</f>
        <v>4.1475388500000025E-7</v>
      </c>
      <c r="AH133">
        <f>event_tree[[#This Row],[total_casualty]]*event_tree[[#This Row],[fire_probability]]</f>
        <v>4.9770466200000035E-6</v>
      </c>
    </row>
    <row r="134" spans="1:34" x14ac:dyDescent="0.25">
      <c r="A134">
        <v>133</v>
      </c>
      <c r="B134" t="str" cm="1">
        <f t="array" ref="B13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4" t="str" cm="1">
        <f t="array" ref="C13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4" t="str" cm="1">
        <f t="array" ref="D13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4" t="str" cm="1">
        <f t="array" ref="E134">INDEX(sprinkler[sprinkler],
  1+MOD(QUOTIENT(ROW()-ROW($B$2),
     ROWS(manual_suppression[manual_suppression])*
     ROWS(door_open[door_open])*
     ROWS(smoke_seal[smoke_seal])
  ),
  ROWS(sprinkler[sprinkler]))
)</f>
        <v>Control</v>
      </c>
      <c r="F134" t="str" cm="1">
        <f t="array" ref="F134">INDEX(manual_suppression[manual_suppression],
  1+MOD(QUOTIENT(ROW()-ROW($B$2),
     ROWS(door_open[door_open])*
     ROWS(smoke_seal[smoke_seal])
  ),
  ROWS(manual_suppression[manual_suppression]))
)</f>
        <v>Suppress</v>
      </c>
      <c r="G134" t="str" cm="1">
        <f t="array" ref="G134">INDEX(door_open[door_open],
  1+MOD(QUOTIENT(ROW()-ROW($B$2),
     ROWS(smoke_seal[smoke_seal])
  ),
  ROWS(door_open[door_open]))
)</f>
        <v>Open</v>
      </c>
      <c r="H134" t="str" cm="1">
        <f t="array" ref="H134">INDEX(smoke_seal[smoke_seal],
  1+MOD(ROW()-ROW($B$2), ROWS(smoke_seal[smoke_seal]))
)</f>
        <v>Fail</v>
      </c>
      <c r="I134" t="str">
        <f>IF(event_tree[[#This Row],[door_open]]="Open","Open",IF(event_tree[[#This Row],[smoke_seal]]="Success","Close","Part"))</f>
        <v>Open</v>
      </c>
      <c r="J134">
        <f>IF(B134="apartment",Inputs!$I$7,Inputs!$I$6)</f>
        <v>1.2999999999999999E-3</v>
      </c>
      <c r="K134">
        <f>PRODUCT(
  INDEX(fire_location[Probability],MATCH($B134,fire_location[fire_location],0)),
  INDEX(smoke_detection_apt[Probability],MATCH($C134,smoke_detection_apt[smoke_detection_apt],0)),
  INDEX(smoke_detection_corridor[Probability],MATCH($D134,smoke_detection_corridor[smoke_detection_corridor],0)),
  INDEX(sprinkler[Probability],MATCH($E134,sprinkler[sprinkler],0)),
  INDEX(manual_suppression[Probability],MATCH($F134,manual_suppression[manual_suppression],0)),
  INDEX(door_open[Probability],MATCH($G134,door_open[door_open],0)),
  INDEX(smoke_seal[Probability],MATCH($H134,smoke_seal[smoke_seal],0))
)</f>
        <v>1.367320500000001E-4</v>
      </c>
      <c r="L13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34" t="str">
        <f>event_tree[[#This Row],[ASET_scenario]]&amp;Inputs!$F$8</f>
        <v>X6</v>
      </c>
      <c r="N13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3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34" t="str">
        <f>event_tree[[#This Row],[fire_location]]&amp;Inputs!$F$8</f>
        <v>Corridor6</v>
      </c>
      <c r="Q13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34">
        <f>IF(event_tree[[#This Row],[fire_location]]="Apartment",Inputs!$F$11,Inputs!$F$12)</f>
        <v>600</v>
      </c>
      <c r="S134">
        <f>10+Inputs!$F$8</f>
        <v>16</v>
      </c>
      <c r="T13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34">
        <f>IF(event_tree[[#This Row],[fire_location]]="Apartment",Inputs!$F$12,Inputs!$F$11)</f>
        <v>60</v>
      </c>
      <c r="V134">
        <f>10+Inputs!$F$8</f>
        <v>16</v>
      </c>
      <c r="W134">
        <f>30</f>
        <v>30</v>
      </c>
      <c r="X134" t="str">
        <f>IF(event_tree[[#This Row],[ASET_scenario]]="X","extinguish",
   event_tree[[#This Row],[SOU_tdet]] + event_tree[[#This Row],[SOU_tpre]] + event_tree[[#This Row],[tnot]])</f>
        <v>extinguish</v>
      </c>
      <c r="Y134" t="str">
        <f>IF(event_tree[[#This Row],[ASET_scenario]]="X","extinguish",
   event_tree[[#This Row],[SOU_inside_RSET]] + event_tree[[#This Row],[SOU_ttrav]])</f>
        <v>extinguish</v>
      </c>
      <c r="Z13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34" t="str">
        <f>IF(event_tree[[#This Row],[ASET_scenario]]="X","extinguish", event_tree[[#This Row],[apt_ASET]]/event_tree[[#This Row],[SOU_inside_RSET]])</f>
        <v>extinguish</v>
      </c>
      <c r="AB134" t="str">
        <f>IF(event_tree[[#This Row],[ASET_scenario]]="X","extinguish",event_tree[[#This Row],[cor_ASET]]/event_tree[[#This Row],[SOU_outside_RSET]])</f>
        <v>extinguish</v>
      </c>
      <c r="AC134" t="str">
        <f>IF(event_tree[[#This Row],[ASET_scenario]]="X","extinguish",event_tree[[#This Row],[cor_ASET]]/event_tree[[#This Row],[remote_RSET]])</f>
        <v>extinguish</v>
      </c>
      <c r="AD134" t="b">
        <f>IF(OR(event_tree[[#This Row],[SOU_inside_ratio]]&lt;1,event_tree[[#This Row],[SOU_outside_ratio]]&lt;1),2)</f>
        <v>0</v>
      </c>
      <c r="AE134" t="b">
        <f>IF(event_tree[[#This Row],[remote_ratio]]&lt;1,2*(Inputs!$F$5-1))</f>
        <v>0</v>
      </c>
      <c r="AF134">
        <f>event_tree[[#This Row],[SOU_casualty]]+event_tree[[#This Row],[remote_casualty]]</f>
        <v>0</v>
      </c>
      <c r="AG134">
        <f>event_tree[[#This Row],[fire_frequency]]*event_tree[[#This Row],[probability_of_scenario]]</f>
        <v>1.7775166500000012E-7</v>
      </c>
      <c r="AH134">
        <f>event_tree[[#This Row],[total_casualty]]*event_tree[[#This Row],[fire_probability]]</f>
        <v>0</v>
      </c>
    </row>
    <row r="135" spans="1:34" x14ac:dyDescent="0.25">
      <c r="A135">
        <v>134</v>
      </c>
      <c r="B135" t="str" cm="1">
        <f t="array" ref="B13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5" t="str" cm="1">
        <f t="array" ref="C13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5" t="str" cm="1">
        <f t="array" ref="D13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5" t="str" cm="1">
        <f t="array" ref="E135">INDEX(sprinkler[sprinkler],
  1+MOD(QUOTIENT(ROW()-ROW($B$2),
     ROWS(manual_suppression[manual_suppression])*
     ROWS(door_open[door_open])*
     ROWS(smoke_seal[smoke_seal])
  ),
  ROWS(sprinkler[sprinkler]))
)</f>
        <v>Control</v>
      </c>
      <c r="F135" t="str" cm="1">
        <f t="array" ref="F135">INDEX(manual_suppression[manual_suppression],
  1+MOD(QUOTIENT(ROW()-ROW($B$2),
     ROWS(door_open[door_open])*
     ROWS(smoke_seal[smoke_seal])
  ),
  ROWS(manual_suppression[manual_suppression]))
)</f>
        <v>Suppress</v>
      </c>
      <c r="G135" t="str" cm="1">
        <f t="array" ref="G135">INDEX(door_open[door_open],
  1+MOD(QUOTIENT(ROW()-ROW($B$2),
     ROWS(smoke_seal[smoke_seal])
  ),
  ROWS(door_open[door_open]))
)</f>
        <v>Open</v>
      </c>
      <c r="H135" t="str" cm="1">
        <f t="array" ref="H135">INDEX(smoke_seal[smoke_seal],
  1+MOD(ROW()-ROW($B$2), ROWS(smoke_seal[smoke_seal]))
)</f>
        <v>Success</v>
      </c>
      <c r="I135" t="str">
        <f>IF(event_tree[[#This Row],[door_open]]="Open","Open",IF(event_tree[[#This Row],[smoke_seal]]="Success","Close","Part"))</f>
        <v>Open</v>
      </c>
      <c r="J135">
        <f>IF(B135="apartment",Inputs!$I$7,Inputs!$I$6)</f>
        <v>1.2999999999999999E-3</v>
      </c>
      <c r="K135">
        <f>PRODUCT(
  INDEX(fire_location[Probability],MATCH($B135,fire_location[fire_location],0)),
  INDEX(smoke_detection_apt[Probability],MATCH($C135,smoke_detection_apt[smoke_detection_apt],0)),
  INDEX(smoke_detection_corridor[Probability],MATCH($D135,smoke_detection_corridor[smoke_detection_corridor],0)),
  INDEX(sprinkler[Probability],MATCH($E135,sprinkler[sprinkler],0)),
  INDEX(manual_suppression[Probability],MATCH($F135,manual_suppression[manual_suppression],0)),
  INDEX(door_open[Probability],MATCH($G135,door_open[door_open],0)),
  INDEX(smoke_seal[Probability],MATCH($H135,smoke_seal[smoke_seal],0))
)</f>
        <v>2.5393095000000025E-4</v>
      </c>
      <c r="L13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35" t="str">
        <f>event_tree[[#This Row],[ASET_scenario]]&amp;Inputs!$F$8</f>
        <v>X6</v>
      </c>
      <c r="N13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3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35" t="str">
        <f>event_tree[[#This Row],[fire_location]]&amp;Inputs!$F$8</f>
        <v>Corridor6</v>
      </c>
      <c r="Q13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35">
        <f>IF(event_tree[[#This Row],[fire_location]]="Apartment",Inputs!$F$11,Inputs!$F$12)</f>
        <v>600</v>
      </c>
      <c r="S135">
        <f>10+Inputs!$F$8</f>
        <v>16</v>
      </c>
      <c r="T13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35">
        <f>IF(event_tree[[#This Row],[fire_location]]="Apartment",Inputs!$F$12,Inputs!$F$11)</f>
        <v>60</v>
      </c>
      <c r="V135">
        <f>10+Inputs!$F$8</f>
        <v>16</v>
      </c>
      <c r="W135">
        <f>30</f>
        <v>30</v>
      </c>
      <c r="X135" t="str">
        <f>IF(event_tree[[#This Row],[ASET_scenario]]="X","extinguish",
   event_tree[[#This Row],[SOU_tdet]] + event_tree[[#This Row],[SOU_tpre]] + event_tree[[#This Row],[tnot]])</f>
        <v>extinguish</v>
      </c>
      <c r="Y135" t="str">
        <f>IF(event_tree[[#This Row],[ASET_scenario]]="X","extinguish",
   event_tree[[#This Row],[SOU_inside_RSET]] + event_tree[[#This Row],[SOU_ttrav]])</f>
        <v>extinguish</v>
      </c>
      <c r="Z13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35" t="str">
        <f>IF(event_tree[[#This Row],[ASET_scenario]]="X","extinguish", event_tree[[#This Row],[apt_ASET]]/event_tree[[#This Row],[SOU_inside_RSET]])</f>
        <v>extinguish</v>
      </c>
      <c r="AB135" t="str">
        <f>IF(event_tree[[#This Row],[ASET_scenario]]="X","extinguish",event_tree[[#This Row],[cor_ASET]]/event_tree[[#This Row],[SOU_outside_RSET]])</f>
        <v>extinguish</v>
      </c>
      <c r="AC135" t="str">
        <f>IF(event_tree[[#This Row],[ASET_scenario]]="X","extinguish",event_tree[[#This Row],[cor_ASET]]/event_tree[[#This Row],[remote_RSET]])</f>
        <v>extinguish</v>
      </c>
      <c r="AD135" t="b">
        <f>IF(OR(event_tree[[#This Row],[SOU_inside_ratio]]&lt;1,event_tree[[#This Row],[SOU_outside_ratio]]&lt;1),2)</f>
        <v>0</v>
      </c>
      <c r="AE135" t="b">
        <f>IF(event_tree[[#This Row],[remote_ratio]]&lt;1,2*(Inputs!$F$5-1))</f>
        <v>0</v>
      </c>
      <c r="AF135">
        <f>event_tree[[#This Row],[SOU_casualty]]+event_tree[[#This Row],[remote_casualty]]</f>
        <v>0</v>
      </c>
      <c r="AG135">
        <f>event_tree[[#This Row],[fire_frequency]]*event_tree[[#This Row],[probability_of_scenario]]</f>
        <v>3.3011023500000031E-7</v>
      </c>
      <c r="AH135">
        <f>event_tree[[#This Row],[total_casualty]]*event_tree[[#This Row],[fire_probability]]</f>
        <v>0</v>
      </c>
    </row>
    <row r="136" spans="1:34" x14ac:dyDescent="0.25">
      <c r="A136">
        <v>135</v>
      </c>
      <c r="B136" t="str" cm="1">
        <f t="array" ref="B13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6" t="str" cm="1">
        <f t="array" ref="C13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6" t="str" cm="1">
        <f t="array" ref="D13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6" t="str" cm="1">
        <f t="array" ref="E136">INDEX(sprinkler[sprinkler],
  1+MOD(QUOTIENT(ROW()-ROW($B$2),
     ROWS(manual_suppression[manual_suppression])*
     ROWS(door_open[door_open])*
     ROWS(smoke_seal[smoke_seal])
  ),
  ROWS(sprinkler[sprinkler]))
)</f>
        <v>Control</v>
      </c>
      <c r="F136" t="str" cm="1">
        <f t="array" ref="F136">INDEX(manual_suppression[manual_suppression],
  1+MOD(QUOTIENT(ROW()-ROW($B$2),
     ROWS(door_open[door_open])*
     ROWS(smoke_seal[smoke_seal])
  ),
  ROWS(manual_suppression[manual_suppression]))
)</f>
        <v>Suppress</v>
      </c>
      <c r="G136" t="str" cm="1">
        <f t="array" ref="G136">INDEX(door_open[door_open],
  1+MOD(QUOTIENT(ROW()-ROW($B$2),
     ROWS(smoke_seal[smoke_seal])
  ),
  ROWS(door_open[door_open]))
)</f>
        <v>Closed</v>
      </c>
      <c r="H136" t="str" cm="1">
        <f t="array" ref="H136">INDEX(smoke_seal[smoke_seal],
  1+MOD(ROW()-ROW($B$2), ROWS(smoke_seal[smoke_seal]))
)</f>
        <v>Fail</v>
      </c>
      <c r="I136" t="str">
        <f>IF(event_tree[[#This Row],[door_open]]="Open","Open",IF(event_tree[[#This Row],[smoke_seal]]="Success","Close","Part"))</f>
        <v>Part</v>
      </c>
      <c r="J136">
        <f>IF(B136="apartment",Inputs!$I$7,Inputs!$I$6)</f>
        <v>1.2999999999999999E-3</v>
      </c>
      <c r="K136">
        <f>PRODUCT(
  INDEX(fire_location[Probability],MATCH($B136,fire_location[fire_location],0)),
  INDEX(smoke_detection_apt[Probability],MATCH($C136,smoke_detection_apt[smoke_detection_apt],0)),
  INDEX(smoke_detection_corridor[Probability],MATCH($D136,smoke_detection_corridor[smoke_detection_corridor],0)),
  INDEX(sprinkler[Probability],MATCH($E136,sprinkler[sprinkler],0)),
  INDEX(manual_suppression[Probability],MATCH($F136,manual_suppression[manual_suppression],0)),
  INDEX(door_open[Probability],MATCH($G136,door_open[door_open],0)),
  INDEX(smoke_seal[Probability],MATCH($H136,smoke_seal[smoke_seal],0))
)</f>
        <v>3.1904145000000026E-4</v>
      </c>
      <c r="L13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36" t="str">
        <f>event_tree[[#This Row],[ASET_scenario]]&amp;Inputs!$F$8</f>
        <v>X6</v>
      </c>
      <c r="N13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3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36" t="str">
        <f>event_tree[[#This Row],[fire_location]]&amp;Inputs!$F$8</f>
        <v>Corridor6</v>
      </c>
      <c r="Q13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36">
        <f>IF(event_tree[[#This Row],[fire_location]]="Apartment",Inputs!$F$11,Inputs!$F$12)</f>
        <v>600</v>
      </c>
      <c r="S136">
        <f>10+Inputs!$F$8</f>
        <v>16</v>
      </c>
      <c r="T13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36">
        <f>IF(event_tree[[#This Row],[fire_location]]="Apartment",Inputs!$F$12,Inputs!$F$11)</f>
        <v>60</v>
      </c>
      <c r="V136">
        <f>10+Inputs!$F$8</f>
        <v>16</v>
      </c>
      <c r="W136">
        <f>30</f>
        <v>30</v>
      </c>
      <c r="X136" t="str">
        <f>IF(event_tree[[#This Row],[ASET_scenario]]="X","extinguish",
   event_tree[[#This Row],[SOU_tdet]] + event_tree[[#This Row],[SOU_tpre]] + event_tree[[#This Row],[tnot]])</f>
        <v>extinguish</v>
      </c>
      <c r="Y136" t="str">
        <f>IF(event_tree[[#This Row],[ASET_scenario]]="X","extinguish",
   event_tree[[#This Row],[SOU_inside_RSET]] + event_tree[[#This Row],[SOU_ttrav]])</f>
        <v>extinguish</v>
      </c>
      <c r="Z13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36" t="str">
        <f>IF(event_tree[[#This Row],[ASET_scenario]]="X","extinguish", event_tree[[#This Row],[apt_ASET]]/event_tree[[#This Row],[SOU_inside_RSET]])</f>
        <v>extinguish</v>
      </c>
      <c r="AB136" t="str">
        <f>IF(event_tree[[#This Row],[ASET_scenario]]="X","extinguish",event_tree[[#This Row],[cor_ASET]]/event_tree[[#This Row],[SOU_outside_RSET]])</f>
        <v>extinguish</v>
      </c>
      <c r="AC136" t="str">
        <f>IF(event_tree[[#This Row],[ASET_scenario]]="X","extinguish",event_tree[[#This Row],[cor_ASET]]/event_tree[[#This Row],[remote_RSET]])</f>
        <v>extinguish</v>
      </c>
      <c r="AD136" t="b">
        <f>IF(OR(event_tree[[#This Row],[SOU_inside_ratio]]&lt;1,event_tree[[#This Row],[SOU_outside_ratio]]&lt;1),2)</f>
        <v>0</v>
      </c>
      <c r="AE136" t="b">
        <f>IF(event_tree[[#This Row],[remote_ratio]]&lt;1,2*(Inputs!$F$5-1))</f>
        <v>0</v>
      </c>
      <c r="AF136">
        <f>event_tree[[#This Row],[SOU_casualty]]+event_tree[[#This Row],[remote_casualty]]</f>
        <v>0</v>
      </c>
      <c r="AG136">
        <f>event_tree[[#This Row],[fire_frequency]]*event_tree[[#This Row],[probability_of_scenario]]</f>
        <v>4.1475388500000031E-7</v>
      </c>
      <c r="AH136">
        <f>event_tree[[#This Row],[total_casualty]]*event_tree[[#This Row],[fire_probability]]</f>
        <v>0</v>
      </c>
    </row>
    <row r="137" spans="1:34" x14ac:dyDescent="0.25">
      <c r="A137">
        <v>136</v>
      </c>
      <c r="B137" t="str" cm="1">
        <f t="array" ref="B13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7" t="str" cm="1">
        <f t="array" ref="C13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7" t="str" cm="1">
        <f t="array" ref="D13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7" t="str" cm="1">
        <f t="array" ref="E137">INDEX(sprinkler[sprinkler],
  1+MOD(QUOTIENT(ROW()-ROW($B$2),
     ROWS(manual_suppression[manual_suppression])*
     ROWS(door_open[door_open])*
     ROWS(smoke_seal[smoke_seal])
  ),
  ROWS(sprinkler[sprinkler]))
)</f>
        <v>Control</v>
      </c>
      <c r="F137" t="str" cm="1">
        <f t="array" ref="F137">INDEX(manual_suppression[manual_suppression],
  1+MOD(QUOTIENT(ROW()-ROW($B$2),
     ROWS(door_open[door_open])*
     ROWS(smoke_seal[smoke_seal])
  ),
  ROWS(manual_suppression[manual_suppression]))
)</f>
        <v>Suppress</v>
      </c>
      <c r="G137" t="str" cm="1">
        <f t="array" ref="G137">INDEX(door_open[door_open],
  1+MOD(QUOTIENT(ROW()-ROW($B$2),
     ROWS(smoke_seal[smoke_seal])
  ),
  ROWS(door_open[door_open]))
)</f>
        <v>Closed</v>
      </c>
      <c r="H137" t="str" cm="1">
        <f t="array" ref="H137">INDEX(smoke_seal[smoke_seal],
  1+MOD(ROW()-ROW($B$2), ROWS(smoke_seal[smoke_seal]))
)</f>
        <v>Success</v>
      </c>
      <c r="I137" t="str">
        <f>IF(event_tree[[#This Row],[door_open]]="Open","Open",IF(event_tree[[#This Row],[smoke_seal]]="Success","Close","Part"))</f>
        <v>Close</v>
      </c>
      <c r="J137">
        <f>IF(B137="apartment",Inputs!$I$7,Inputs!$I$6)</f>
        <v>1.2999999999999999E-3</v>
      </c>
      <c r="K137">
        <f>PRODUCT(
  INDEX(fire_location[Probability],MATCH($B137,fire_location[fire_location],0)),
  INDEX(smoke_detection_apt[Probability],MATCH($C137,smoke_detection_apt[smoke_detection_apt],0)),
  INDEX(smoke_detection_corridor[Probability],MATCH($D137,smoke_detection_corridor[smoke_detection_corridor],0)),
  INDEX(sprinkler[Probability],MATCH($E137,sprinkler[sprinkler],0)),
  INDEX(manual_suppression[Probability],MATCH($F137,manual_suppression[manual_suppression],0)),
  INDEX(door_open[Probability],MATCH($G137,door_open[door_open],0)),
  INDEX(smoke_seal[Probability],MATCH($H137,smoke_seal[smoke_seal],0))
)</f>
        <v>5.9250555000000052E-4</v>
      </c>
      <c r="L13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37" t="str">
        <f>event_tree[[#This Row],[ASET_scenario]]&amp;Inputs!$F$8</f>
        <v>X6</v>
      </c>
      <c r="N13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3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37" t="str">
        <f>event_tree[[#This Row],[fire_location]]&amp;Inputs!$F$8</f>
        <v>Corridor6</v>
      </c>
      <c r="Q13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37">
        <f>IF(event_tree[[#This Row],[fire_location]]="Apartment",Inputs!$F$11,Inputs!$F$12)</f>
        <v>600</v>
      </c>
      <c r="S137">
        <f>10+Inputs!$F$8</f>
        <v>16</v>
      </c>
      <c r="T13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37">
        <f>IF(event_tree[[#This Row],[fire_location]]="Apartment",Inputs!$F$12,Inputs!$F$11)</f>
        <v>60</v>
      </c>
      <c r="V137">
        <f>10+Inputs!$F$8</f>
        <v>16</v>
      </c>
      <c r="W137">
        <f>30</f>
        <v>30</v>
      </c>
      <c r="X137" t="str">
        <f>IF(event_tree[[#This Row],[ASET_scenario]]="X","extinguish",
   event_tree[[#This Row],[SOU_tdet]] + event_tree[[#This Row],[SOU_tpre]] + event_tree[[#This Row],[tnot]])</f>
        <v>extinguish</v>
      </c>
      <c r="Y137" t="str">
        <f>IF(event_tree[[#This Row],[ASET_scenario]]="X","extinguish",
   event_tree[[#This Row],[SOU_inside_RSET]] + event_tree[[#This Row],[SOU_ttrav]])</f>
        <v>extinguish</v>
      </c>
      <c r="Z13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37" t="str">
        <f>IF(event_tree[[#This Row],[ASET_scenario]]="X","extinguish", event_tree[[#This Row],[apt_ASET]]/event_tree[[#This Row],[SOU_inside_RSET]])</f>
        <v>extinguish</v>
      </c>
      <c r="AB137" t="str">
        <f>IF(event_tree[[#This Row],[ASET_scenario]]="X","extinguish",event_tree[[#This Row],[cor_ASET]]/event_tree[[#This Row],[SOU_outside_RSET]])</f>
        <v>extinguish</v>
      </c>
      <c r="AC137" t="str">
        <f>IF(event_tree[[#This Row],[ASET_scenario]]="X","extinguish",event_tree[[#This Row],[cor_ASET]]/event_tree[[#This Row],[remote_RSET]])</f>
        <v>extinguish</v>
      </c>
      <c r="AD137" t="b">
        <f>IF(OR(event_tree[[#This Row],[SOU_inside_ratio]]&lt;1,event_tree[[#This Row],[SOU_outside_ratio]]&lt;1),2)</f>
        <v>0</v>
      </c>
      <c r="AE137" t="b">
        <f>IF(event_tree[[#This Row],[remote_ratio]]&lt;1,2*(Inputs!$F$5-1))</f>
        <v>0</v>
      </c>
      <c r="AF137">
        <f>event_tree[[#This Row],[SOU_casualty]]+event_tree[[#This Row],[remote_casualty]]</f>
        <v>0</v>
      </c>
      <c r="AG137">
        <f>event_tree[[#This Row],[fire_frequency]]*event_tree[[#This Row],[probability_of_scenario]]</f>
        <v>7.7025721500000061E-7</v>
      </c>
      <c r="AH137">
        <f>event_tree[[#This Row],[total_casualty]]*event_tree[[#This Row],[fire_probability]]</f>
        <v>0</v>
      </c>
    </row>
    <row r="138" spans="1:34" x14ac:dyDescent="0.25">
      <c r="A138">
        <v>137</v>
      </c>
      <c r="B138" t="str" cm="1">
        <f t="array" ref="B13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8" t="str" cm="1">
        <f t="array" ref="C13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8" t="str" cm="1">
        <f t="array" ref="D13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8" t="str" cm="1">
        <f t="array" ref="E138">INDEX(sprinkler[sprinkler],
  1+MOD(QUOTIENT(ROW()-ROW($B$2),
     ROWS(manual_suppression[manual_suppression])*
     ROWS(door_open[door_open])*
     ROWS(smoke_seal[smoke_seal])
  ),
  ROWS(sprinkler[sprinkler]))
)</f>
        <v>Extinguish</v>
      </c>
      <c r="F138" t="str" cm="1">
        <f t="array" ref="F138">INDEX(manual_suppression[manual_suppression],
  1+MOD(QUOTIENT(ROW()-ROW($B$2),
     ROWS(door_open[door_open])*
     ROWS(smoke_seal[smoke_seal])
  ),
  ROWS(manual_suppression[manual_suppression]))
)</f>
        <v>Fail</v>
      </c>
      <c r="G138" t="str" cm="1">
        <f t="array" ref="G138">INDEX(door_open[door_open],
  1+MOD(QUOTIENT(ROW()-ROW($B$2),
     ROWS(smoke_seal[smoke_seal])
  ),
  ROWS(door_open[door_open]))
)</f>
        <v>Open</v>
      </c>
      <c r="H138" t="str" cm="1">
        <f t="array" ref="H138">INDEX(smoke_seal[smoke_seal],
  1+MOD(ROW()-ROW($B$2), ROWS(smoke_seal[smoke_seal]))
)</f>
        <v>Fail</v>
      </c>
      <c r="I138" t="str">
        <f>IF(event_tree[[#This Row],[door_open]]="Open","Open",IF(event_tree[[#This Row],[smoke_seal]]="Success","Close","Part"))</f>
        <v>Open</v>
      </c>
      <c r="J138">
        <f>IF(B138="apartment",Inputs!$I$7,Inputs!$I$6)</f>
        <v>1.2999999999999999E-3</v>
      </c>
      <c r="K138">
        <f>PRODUCT(
  INDEX(fire_location[Probability],MATCH($B138,fire_location[fire_location],0)),
  INDEX(smoke_detection_apt[Probability],MATCH($C138,smoke_detection_apt[smoke_detection_apt],0)),
  INDEX(smoke_detection_corridor[Probability],MATCH($D138,smoke_detection_corridor[smoke_detection_corridor],0)),
  INDEX(sprinkler[Probability],MATCH($E138,sprinkler[sprinkler],0)),
  INDEX(manual_suppression[Probability],MATCH($F138,manual_suppression[manual_suppression],0)),
  INDEX(door_open[Probability],MATCH($G138,door_open[door_open],0)),
  INDEX(smoke_seal[Probability],MATCH($H138,smoke_seal[smoke_seal],0))
)</f>
        <v>8.4142800000000051E-5</v>
      </c>
      <c r="L13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38" t="str">
        <f>event_tree[[#This Row],[ASET_scenario]]&amp;Inputs!$F$8</f>
        <v>X6</v>
      </c>
      <c r="N13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3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38" t="str">
        <f>event_tree[[#This Row],[fire_location]]&amp;Inputs!$F$8</f>
        <v>Corridor6</v>
      </c>
      <c r="Q13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38">
        <f>IF(event_tree[[#This Row],[fire_location]]="Apartment",Inputs!$F$11,Inputs!$F$12)</f>
        <v>600</v>
      </c>
      <c r="S138">
        <f>10+Inputs!$F$8</f>
        <v>16</v>
      </c>
      <c r="T13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38">
        <f>IF(event_tree[[#This Row],[fire_location]]="Apartment",Inputs!$F$12,Inputs!$F$11)</f>
        <v>60</v>
      </c>
      <c r="V138">
        <f>10+Inputs!$F$8</f>
        <v>16</v>
      </c>
      <c r="W138">
        <f>30</f>
        <v>30</v>
      </c>
      <c r="X138" t="str">
        <f>IF(event_tree[[#This Row],[ASET_scenario]]="X","extinguish",
   event_tree[[#This Row],[SOU_tdet]] + event_tree[[#This Row],[SOU_tpre]] + event_tree[[#This Row],[tnot]])</f>
        <v>extinguish</v>
      </c>
      <c r="Y138" t="str">
        <f>IF(event_tree[[#This Row],[ASET_scenario]]="X","extinguish",
   event_tree[[#This Row],[SOU_inside_RSET]] + event_tree[[#This Row],[SOU_ttrav]])</f>
        <v>extinguish</v>
      </c>
      <c r="Z13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38" t="str">
        <f>IF(event_tree[[#This Row],[ASET_scenario]]="X","extinguish", event_tree[[#This Row],[apt_ASET]]/event_tree[[#This Row],[SOU_inside_RSET]])</f>
        <v>extinguish</v>
      </c>
      <c r="AB138" t="str">
        <f>IF(event_tree[[#This Row],[ASET_scenario]]="X","extinguish",event_tree[[#This Row],[cor_ASET]]/event_tree[[#This Row],[SOU_outside_RSET]])</f>
        <v>extinguish</v>
      </c>
      <c r="AC138" t="str">
        <f>IF(event_tree[[#This Row],[ASET_scenario]]="X","extinguish",event_tree[[#This Row],[cor_ASET]]/event_tree[[#This Row],[remote_RSET]])</f>
        <v>extinguish</v>
      </c>
      <c r="AD138" t="b">
        <f>IF(OR(event_tree[[#This Row],[SOU_inside_ratio]]&lt;1,event_tree[[#This Row],[SOU_outside_ratio]]&lt;1),2)</f>
        <v>0</v>
      </c>
      <c r="AE138" t="b">
        <f>IF(event_tree[[#This Row],[remote_ratio]]&lt;1,2*(Inputs!$F$5-1))</f>
        <v>0</v>
      </c>
      <c r="AF138">
        <f>event_tree[[#This Row],[SOU_casualty]]+event_tree[[#This Row],[remote_casualty]]</f>
        <v>0</v>
      </c>
      <c r="AG138">
        <f>event_tree[[#This Row],[fire_frequency]]*event_tree[[#This Row],[probability_of_scenario]]</f>
        <v>1.0938564000000005E-7</v>
      </c>
      <c r="AH138">
        <f>event_tree[[#This Row],[total_casualty]]*event_tree[[#This Row],[fire_probability]]</f>
        <v>0</v>
      </c>
    </row>
    <row r="139" spans="1:34" x14ac:dyDescent="0.25">
      <c r="A139">
        <v>138</v>
      </c>
      <c r="B139" t="str" cm="1">
        <f t="array" ref="B13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39" t="str" cm="1">
        <f t="array" ref="C13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39" t="str" cm="1">
        <f t="array" ref="D13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39" t="str" cm="1">
        <f t="array" ref="E139">INDEX(sprinkler[sprinkler],
  1+MOD(QUOTIENT(ROW()-ROW($B$2),
     ROWS(manual_suppression[manual_suppression])*
     ROWS(door_open[door_open])*
     ROWS(smoke_seal[smoke_seal])
  ),
  ROWS(sprinkler[sprinkler]))
)</f>
        <v>Extinguish</v>
      </c>
      <c r="F139" t="str" cm="1">
        <f t="array" ref="F139">INDEX(manual_suppression[manual_suppression],
  1+MOD(QUOTIENT(ROW()-ROW($B$2),
     ROWS(door_open[door_open])*
     ROWS(smoke_seal[smoke_seal])
  ),
  ROWS(manual_suppression[manual_suppression]))
)</f>
        <v>Fail</v>
      </c>
      <c r="G139" t="str" cm="1">
        <f t="array" ref="G139">INDEX(door_open[door_open],
  1+MOD(QUOTIENT(ROW()-ROW($B$2),
     ROWS(smoke_seal[smoke_seal])
  ),
  ROWS(door_open[door_open]))
)</f>
        <v>Open</v>
      </c>
      <c r="H139" t="str" cm="1">
        <f t="array" ref="H139">INDEX(smoke_seal[smoke_seal],
  1+MOD(ROW()-ROW($B$2), ROWS(smoke_seal[smoke_seal]))
)</f>
        <v>Success</v>
      </c>
      <c r="I139" t="str">
        <f>IF(event_tree[[#This Row],[door_open]]="Open","Open",IF(event_tree[[#This Row],[smoke_seal]]="Success","Close","Part"))</f>
        <v>Open</v>
      </c>
      <c r="J139">
        <f>IF(B139="apartment",Inputs!$I$7,Inputs!$I$6)</f>
        <v>1.2999999999999999E-3</v>
      </c>
      <c r="K139">
        <f>PRODUCT(
  INDEX(fire_location[Probability],MATCH($B139,fire_location[fire_location],0)),
  INDEX(smoke_detection_apt[Probability],MATCH($C139,smoke_detection_apt[smoke_detection_apt],0)),
  INDEX(smoke_detection_corridor[Probability],MATCH($D139,smoke_detection_corridor[smoke_detection_corridor],0)),
  INDEX(sprinkler[Probability],MATCH($E139,sprinkler[sprinkler],0)),
  INDEX(manual_suppression[Probability],MATCH($F139,manual_suppression[manual_suppression],0)),
  INDEX(door_open[Probability],MATCH($G139,door_open[door_open],0)),
  INDEX(smoke_seal[Probability],MATCH($H139,smoke_seal[smoke_seal],0))
)</f>
        <v>1.5626520000000012E-4</v>
      </c>
      <c r="L13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39" t="str">
        <f>event_tree[[#This Row],[ASET_scenario]]&amp;Inputs!$F$8</f>
        <v>X6</v>
      </c>
      <c r="N13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3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39" t="str">
        <f>event_tree[[#This Row],[fire_location]]&amp;Inputs!$F$8</f>
        <v>Corridor6</v>
      </c>
      <c r="Q13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39">
        <f>IF(event_tree[[#This Row],[fire_location]]="Apartment",Inputs!$F$11,Inputs!$F$12)</f>
        <v>600</v>
      </c>
      <c r="S139">
        <f>10+Inputs!$F$8</f>
        <v>16</v>
      </c>
      <c r="T13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39">
        <f>IF(event_tree[[#This Row],[fire_location]]="Apartment",Inputs!$F$12,Inputs!$F$11)</f>
        <v>60</v>
      </c>
      <c r="V139">
        <f>10+Inputs!$F$8</f>
        <v>16</v>
      </c>
      <c r="W139">
        <f>30</f>
        <v>30</v>
      </c>
      <c r="X139" t="str">
        <f>IF(event_tree[[#This Row],[ASET_scenario]]="X","extinguish",
   event_tree[[#This Row],[SOU_tdet]] + event_tree[[#This Row],[SOU_tpre]] + event_tree[[#This Row],[tnot]])</f>
        <v>extinguish</v>
      </c>
      <c r="Y139" t="str">
        <f>IF(event_tree[[#This Row],[ASET_scenario]]="X","extinguish",
   event_tree[[#This Row],[SOU_inside_RSET]] + event_tree[[#This Row],[SOU_ttrav]])</f>
        <v>extinguish</v>
      </c>
      <c r="Z13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39" t="str">
        <f>IF(event_tree[[#This Row],[ASET_scenario]]="X","extinguish", event_tree[[#This Row],[apt_ASET]]/event_tree[[#This Row],[SOU_inside_RSET]])</f>
        <v>extinguish</v>
      </c>
      <c r="AB139" t="str">
        <f>IF(event_tree[[#This Row],[ASET_scenario]]="X","extinguish",event_tree[[#This Row],[cor_ASET]]/event_tree[[#This Row],[SOU_outside_RSET]])</f>
        <v>extinguish</v>
      </c>
      <c r="AC139" t="str">
        <f>IF(event_tree[[#This Row],[ASET_scenario]]="X","extinguish",event_tree[[#This Row],[cor_ASET]]/event_tree[[#This Row],[remote_RSET]])</f>
        <v>extinguish</v>
      </c>
      <c r="AD139" t="b">
        <f>IF(OR(event_tree[[#This Row],[SOU_inside_ratio]]&lt;1,event_tree[[#This Row],[SOU_outside_ratio]]&lt;1),2)</f>
        <v>0</v>
      </c>
      <c r="AE139" t="b">
        <f>IF(event_tree[[#This Row],[remote_ratio]]&lt;1,2*(Inputs!$F$5-1))</f>
        <v>0</v>
      </c>
      <c r="AF139">
        <f>event_tree[[#This Row],[SOU_casualty]]+event_tree[[#This Row],[remote_casualty]]</f>
        <v>0</v>
      </c>
      <c r="AG139">
        <f>event_tree[[#This Row],[fire_frequency]]*event_tree[[#This Row],[probability_of_scenario]]</f>
        <v>2.0314476000000015E-7</v>
      </c>
      <c r="AH139">
        <f>event_tree[[#This Row],[total_casualty]]*event_tree[[#This Row],[fire_probability]]</f>
        <v>0</v>
      </c>
    </row>
    <row r="140" spans="1:34" x14ac:dyDescent="0.25">
      <c r="A140">
        <v>139</v>
      </c>
      <c r="B140" t="str" cm="1">
        <f t="array" ref="B14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0" t="str" cm="1">
        <f t="array" ref="C14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40" t="str" cm="1">
        <f t="array" ref="D14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40" t="str" cm="1">
        <f t="array" ref="E140">INDEX(sprinkler[sprinkler],
  1+MOD(QUOTIENT(ROW()-ROW($B$2),
     ROWS(manual_suppression[manual_suppression])*
     ROWS(door_open[door_open])*
     ROWS(smoke_seal[smoke_seal])
  ),
  ROWS(sprinkler[sprinkler]))
)</f>
        <v>Extinguish</v>
      </c>
      <c r="F140" t="str" cm="1">
        <f t="array" ref="F140">INDEX(manual_suppression[manual_suppression],
  1+MOD(QUOTIENT(ROW()-ROW($B$2),
     ROWS(door_open[door_open])*
     ROWS(smoke_seal[smoke_seal])
  ),
  ROWS(manual_suppression[manual_suppression]))
)</f>
        <v>Fail</v>
      </c>
      <c r="G140" t="str" cm="1">
        <f t="array" ref="G140">INDEX(door_open[door_open],
  1+MOD(QUOTIENT(ROW()-ROW($B$2),
     ROWS(smoke_seal[smoke_seal])
  ),
  ROWS(door_open[door_open]))
)</f>
        <v>Closed</v>
      </c>
      <c r="H140" t="str" cm="1">
        <f t="array" ref="H140">INDEX(smoke_seal[smoke_seal],
  1+MOD(ROW()-ROW($B$2), ROWS(smoke_seal[smoke_seal]))
)</f>
        <v>Fail</v>
      </c>
      <c r="I140" t="str">
        <f>IF(event_tree[[#This Row],[door_open]]="Open","Open",IF(event_tree[[#This Row],[smoke_seal]]="Success","Close","Part"))</f>
        <v>Part</v>
      </c>
      <c r="J140">
        <f>IF(B140="apartment",Inputs!$I$7,Inputs!$I$6)</f>
        <v>1.2999999999999999E-3</v>
      </c>
      <c r="K140">
        <f>PRODUCT(
  INDEX(fire_location[Probability],MATCH($B140,fire_location[fire_location],0)),
  INDEX(smoke_detection_apt[Probability],MATCH($C140,smoke_detection_apt[smoke_detection_apt],0)),
  INDEX(smoke_detection_corridor[Probability],MATCH($D140,smoke_detection_corridor[smoke_detection_corridor],0)),
  INDEX(sprinkler[Probability],MATCH($E140,sprinkler[sprinkler],0)),
  INDEX(manual_suppression[Probability],MATCH($F140,manual_suppression[manual_suppression],0)),
  INDEX(door_open[Probability],MATCH($G140,door_open[door_open],0)),
  INDEX(smoke_seal[Probability],MATCH($H140,smoke_seal[smoke_seal],0))
)</f>
        <v>1.9633320000000013E-4</v>
      </c>
      <c r="L14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40" t="str">
        <f>event_tree[[#This Row],[ASET_scenario]]&amp;Inputs!$F$8</f>
        <v>X6</v>
      </c>
      <c r="N14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4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40" t="str">
        <f>event_tree[[#This Row],[fire_location]]&amp;Inputs!$F$8</f>
        <v>Corridor6</v>
      </c>
      <c r="Q14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40">
        <f>IF(event_tree[[#This Row],[fire_location]]="Apartment",Inputs!$F$11,Inputs!$F$12)</f>
        <v>600</v>
      </c>
      <c r="S140">
        <f>10+Inputs!$F$8</f>
        <v>16</v>
      </c>
      <c r="T14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40">
        <f>IF(event_tree[[#This Row],[fire_location]]="Apartment",Inputs!$F$12,Inputs!$F$11)</f>
        <v>60</v>
      </c>
      <c r="V140">
        <f>10+Inputs!$F$8</f>
        <v>16</v>
      </c>
      <c r="W140">
        <f>30</f>
        <v>30</v>
      </c>
      <c r="X140" t="str">
        <f>IF(event_tree[[#This Row],[ASET_scenario]]="X","extinguish",
   event_tree[[#This Row],[SOU_tdet]] + event_tree[[#This Row],[SOU_tpre]] + event_tree[[#This Row],[tnot]])</f>
        <v>extinguish</v>
      </c>
      <c r="Y140" t="str">
        <f>IF(event_tree[[#This Row],[ASET_scenario]]="X","extinguish",
   event_tree[[#This Row],[SOU_inside_RSET]] + event_tree[[#This Row],[SOU_ttrav]])</f>
        <v>extinguish</v>
      </c>
      <c r="Z14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40" t="str">
        <f>IF(event_tree[[#This Row],[ASET_scenario]]="X","extinguish", event_tree[[#This Row],[apt_ASET]]/event_tree[[#This Row],[SOU_inside_RSET]])</f>
        <v>extinguish</v>
      </c>
      <c r="AB140" t="str">
        <f>IF(event_tree[[#This Row],[ASET_scenario]]="X","extinguish",event_tree[[#This Row],[cor_ASET]]/event_tree[[#This Row],[SOU_outside_RSET]])</f>
        <v>extinguish</v>
      </c>
      <c r="AC140" t="str">
        <f>IF(event_tree[[#This Row],[ASET_scenario]]="X","extinguish",event_tree[[#This Row],[cor_ASET]]/event_tree[[#This Row],[remote_RSET]])</f>
        <v>extinguish</v>
      </c>
      <c r="AD140" t="b">
        <f>IF(OR(event_tree[[#This Row],[SOU_inside_ratio]]&lt;1,event_tree[[#This Row],[SOU_outside_ratio]]&lt;1),2)</f>
        <v>0</v>
      </c>
      <c r="AE140" t="b">
        <f>IF(event_tree[[#This Row],[remote_ratio]]&lt;1,2*(Inputs!$F$5-1))</f>
        <v>0</v>
      </c>
      <c r="AF140">
        <f>event_tree[[#This Row],[SOU_casualty]]+event_tree[[#This Row],[remote_casualty]]</f>
        <v>0</v>
      </c>
      <c r="AG140">
        <f>event_tree[[#This Row],[fire_frequency]]*event_tree[[#This Row],[probability_of_scenario]]</f>
        <v>2.5523316000000018E-7</v>
      </c>
      <c r="AH140">
        <f>event_tree[[#This Row],[total_casualty]]*event_tree[[#This Row],[fire_probability]]</f>
        <v>0</v>
      </c>
    </row>
    <row r="141" spans="1:34" x14ac:dyDescent="0.25">
      <c r="A141">
        <v>140</v>
      </c>
      <c r="B141" t="str" cm="1">
        <f t="array" ref="B14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1" t="str" cm="1">
        <f t="array" ref="C14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41" t="str" cm="1">
        <f t="array" ref="D14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41" t="str" cm="1">
        <f t="array" ref="E141">INDEX(sprinkler[sprinkler],
  1+MOD(QUOTIENT(ROW()-ROW($B$2),
     ROWS(manual_suppression[manual_suppression])*
     ROWS(door_open[door_open])*
     ROWS(smoke_seal[smoke_seal])
  ),
  ROWS(sprinkler[sprinkler]))
)</f>
        <v>Extinguish</v>
      </c>
      <c r="F141" t="str" cm="1">
        <f t="array" ref="F141">INDEX(manual_suppression[manual_suppression],
  1+MOD(QUOTIENT(ROW()-ROW($B$2),
     ROWS(door_open[door_open])*
     ROWS(smoke_seal[smoke_seal])
  ),
  ROWS(manual_suppression[manual_suppression]))
)</f>
        <v>Fail</v>
      </c>
      <c r="G141" t="str" cm="1">
        <f t="array" ref="G141">INDEX(door_open[door_open],
  1+MOD(QUOTIENT(ROW()-ROW($B$2),
     ROWS(smoke_seal[smoke_seal])
  ),
  ROWS(door_open[door_open]))
)</f>
        <v>Closed</v>
      </c>
      <c r="H141" t="str" cm="1">
        <f t="array" ref="H141">INDEX(smoke_seal[smoke_seal],
  1+MOD(ROW()-ROW($B$2), ROWS(smoke_seal[smoke_seal]))
)</f>
        <v>Success</v>
      </c>
      <c r="I141" t="str">
        <f>IF(event_tree[[#This Row],[door_open]]="Open","Open",IF(event_tree[[#This Row],[smoke_seal]]="Success","Close","Part"))</f>
        <v>Close</v>
      </c>
      <c r="J141">
        <f>IF(B141="apartment",Inputs!$I$7,Inputs!$I$6)</f>
        <v>1.2999999999999999E-3</v>
      </c>
      <c r="K141">
        <f>PRODUCT(
  INDEX(fire_location[Probability],MATCH($B141,fire_location[fire_location],0)),
  INDEX(smoke_detection_apt[Probability],MATCH($C141,smoke_detection_apt[smoke_detection_apt],0)),
  INDEX(smoke_detection_corridor[Probability],MATCH($D141,smoke_detection_corridor[smoke_detection_corridor],0)),
  INDEX(sprinkler[Probability],MATCH($E141,sprinkler[sprinkler],0)),
  INDEX(manual_suppression[Probability],MATCH($F141,manual_suppression[manual_suppression],0)),
  INDEX(door_open[Probability],MATCH($G141,door_open[door_open],0)),
  INDEX(smoke_seal[Probability],MATCH($H141,smoke_seal[smoke_seal],0))
)</f>
        <v>3.6461880000000026E-4</v>
      </c>
      <c r="L14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41" t="str">
        <f>event_tree[[#This Row],[ASET_scenario]]&amp;Inputs!$F$8</f>
        <v>X6</v>
      </c>
      <c r="N14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4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41" t="str">
        <f>event_tree[[#This Row],[fire_location]]&amp;Inputs!$F$8</f>
        <v>Corridor6</v>
      </c>
      <c r="Q14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41">
        <f>IF(event_tree[[#This Row],[fire_location]]="Apartment",Inputs!$F$11,Inputs!$F$12)</f>
        <v>600</v>
      </c>
      <c r="S141">
        <f>10+Inputs!$F$8</f>
        <v>16</v>
      </c>
      <c r="T14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41">
        <f>IF(event_tree[[#This Row],[fire_location]]="Apartment",Inputs!$F$12,Inputs!$F$11)</f>
        <v>60</v>
      </c>
      <c r="V141">
        <f>10+Inputs!$F$8</f>
        <v>16</v>
      </c>
      <c r="W141">
        <f>30</f>
        <v>30</v>
      </c>
      <c r="X141" t="str">
        <f>IF(event_tree[[#This Row],[ASET_scenario]]="X","extinguish",
   event_tree[[#This Row],[SOU_tdet]] + event_tree[[#This Row],[SOU_tpre]] + event_tree[[#This Row],[tnot]])</f>
        <v>extinguish</v>
      </c>
      <c r="Y141" t="str">
        <f>IF(event_tree[[#This Row],[ASET_scenario]]="X","extinguish",
   event_tree[[#This Row],[SOU_inside_RSET]] + event_tree[[#This Row],[SOU_ttrav]])</f>
        <v>extinguish</v>
      </c>
      <c r="Z14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41" t="str">
        <f>IF(event_tree[[#This Row],[ASET_scenario]]="X","extinguish", event_tree[[#This Row],[apt_ASET]]/event_tree[[#This Row],[SOU_inside_RSET]])</f>
        <v>extinguish</v>
      </c>
      <c r="AB141" t="str">
        <f>IF(event_tree[[#This Row],[ASET_scenario]]="X","extinguish",event_tree[[#This Row],[cor_ASET]]/event_tree[[#This Row],[SOU_outside_RSET]])</f>
        <v>extinguish</v>
      </c>
      <c r="AC141" t="str">
        <f>IF(event_tree[[#This Row],[ASET_scenario]]="X","extinguish",event_tree[[#This Row],[cor_ASET]]/event_tree[[#This Row],[remote_RSET]])</f>
        <v>extinguish</v>
      </c>
      <c r="AD141" t="b">
        <f>IF(OR(event_tree[[#This Row],[SOU_inside_ratio]]&lt;1,event_tree[[#This Row],[SOU_outside_ratio]]&lt;1),2)</f>
        <v>0</v>
      </c>
      <c r="AE141" t="b">
        <f>IF(event_tree[[#This Row],[remote_ratio]]&lt;1,2*(Inputs!$F$5-1))</f>
        <v>0</v>
      </c>
      <c r="AF141">
        <f>event_tree[[#This Row],[SOU_casualty]]+event_tree[[#This Row],[remote_casualty]]</f>
        <v>0</v>
      </c>
      <c r="AG141">
        <f>event_tree[[#This Row],[fire_frequency]]*event_tree[[#This Row],[probability_of_scenario]]</f>
        <v>4.7400444000000031E-7</v>
      </c>
      <c r="AH141">
        <f>event_tree[[#This Row],[total_casualty]]*event_tree[[#This Row],[fire_probability]]</f>
        <v>0</v>
      </c>
    </row>
    <row r="142" spans="1:34" x14ac:dyDescent="0.25">
      <c r="A142">
        <v>141</v>
      </c>
      <c r="B142" t="str" cm="1">
        <f t="array" ref="B14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2" t="str" cm="1">
        <f t="array" ref="C14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42" t="str" cm="1">
        <f t="array" ref="D14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42" t="str" cm="1">
        <f t="array" ref="E142">INDEX(sprinkler[sprinkler],
  1+MOD(QUOTIENT(ROW()-ROW($B$2),
     ROWS(manual_suppression[manual_suppression])*
     ROWS(door_open[door_open])*
     ROWS(smoke_seal[smoke_seal])
  ),
  ROWS(sprinkler[sprinkler]))
)</f>
        <v>Extinguish</v>
      </c>
      <c r="F142" t="str" cm="1">
        <f t="array" ref="F142">INDEX(manual_suppression[manual_suppression],
  1+MOD(QUOTIENT(ROW()-ROW($B$2),
     ROWS(door_open[door_open])*
     ROWS(smoke_seal[smoke_seal])
  ),
  ROWS(manual_suppression[manual_suppression]))
)</f>
        <v>Suppress</v>
      </c>
      <c r="G142" t="str" cm="1">
        <f t="array" ref="G142">INDEX(door_open[door_open],
  1+MOD(QUOTIENT(ROW()-ROW($B$2),
     ROWS(smoke_seal[smoke_seal])
  ),
  ROWS(door_open[door_open]))
)</f>
        <v>Open</v>
      </c>
      <c r="H142" t="str" cm="1">
        <f t="array" ref="H142">INDEX(smoke_seal[smoke_seal],
  1+MOD(ROW()-ROW($B$2), ROWS(smoke_seal[smoke_seal]))
)</f>
        <v>Fail</v>
      </c>
      <c r="I142" t="str">
        <f>IF(event_tree[[#This Row],[door_open]]="Open","Open",IF(event_tree[[#This Row],[smoke_seal]]="Success","Close","Part"))</f>
        <v>Open</v>
      </c>
      <c r="J142">
        <f>IF(B142="apartment",Inputs!$I$7,Inputs!$I$6)</f>
        <v>1.2999999999999999E-3</v>
      </c>
      <c r="K142">
        <f>PRODUCT(
  INDEX(fire_location[Probability],MATCH($B142,fire_location[fire_location],0)),
  INDEX(smoke_detection_apt[Probability],MATCH($C142,smoke_detection_apt[smoke_detection_apt],0)),
  INDEX(smoke_detection_corridor[Probability],MATCH($D142,smoke_detection_corridor[smoke_detection_corridor],0)),
  INDEX(sprinkler[Probability],MATCH($E142,sprinkler[sprinkler],0)),
  INDEX(manual_suppression[Probability],MATCH($F142,manual_suppression[manual_suppression],0)),
  INDEX(door_open[Probability],MATCH($G142,door_open[door_open],0)),
  INDEX(smoke_seal[Probability],MATCH($H142,smoke_seal[smoke_seal],0))
)</f>
        <v>1.5626520000000012E-4</v>
      </c>
      <c r="L14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42" t="str">
        <f>event_tree[[#This Row],[ASET_scenario]]&amp;Inputs!$F$8</f>
        <v>X6</v>
      </c>
      <c r="N14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4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42" t="str">
        <f>event_tree[[#This Row],[fire_location]]&amp;Inputs!$F$8</f>
        <v>Corridor6</v>
      </c>
      <c r="Q14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42">
        <f>IF(event_tree[[#This Row],[fire_location]]="Apartment",Inputs!$F$11,Inputs!$F$12)</f>
        <v>600</v>
      </c>
      <c r="S142">
        <f>10+Inputs!$F$8</f>
        <v>16</v>
      </c>
      <c r="T14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42">
        <f>IF(event_tree[[#This Row],[fire_location]]="Apartment",Inputs!$F$12,Inputs!$F$11)</f>
        <v>60</v>
      </c>
      <c r="V142">
        <f>10+Inputs!$F$8</f>
        <v>16</v>
      </c>
      <c r="W142">
        <f>30</f>
        <v>30</v>
      </c>
      <c r="X142" t="str">
        <f>IF(event_tree[[#This Row],[ASET_scenario]]="X","extinguish",
   event_tree[[#This Row],[SOU_tdet]] + event_tree[[#This Row],[SOU_tpre]] + event_tree[[#This Row],[tnot]])</f>
        <v>extinguish</v>
      </c>
      <c r="Y142" t="str">
        <f>IF(event_tree[[#This Row],[ASET_scenario]]="X","extinguish",
   event_tree[[#This Row],[SOU_inside_RSET]] + event_tree[[#This Row],[SOU_ttrav]])</f>
        <v>extinguish</v>
      </c>
      <c r="Z14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42" t="str">
        <f>IF(event_tree[[#This Row],[ASET_scenario]]="X","extinguish", event_tree[[#This Row],[apt_ASET]]/event_tree[[#This Row],[SOU_inside_RSET]])</f>
        <v>extinguish</v>
      </c>
      <c r="AB142" t="str">
        <f>IF(event_tree[[#This Row],[ASET_scenario]]="X","extinguish",event_tree[[#This Row],[cor_ASET]]/event_tree[[#This Row],[SOU_outside_RSET]])</f>
        <v>extinguish</v>
      </c>
      <c r="AC142" t="str">
        <f>IF(event_tree[[#This Row],[ASET_scenario]]="X","extinguish",event_tree[[#This Row],[cor_ASET]]/event_tree[[#This Row],[remote_RSET]])</f>
        <v>extinguish</v>
      </c>
      <c r="AD142" t="b">
        <f>IF(OR(event_tree[[#This Row],[SOU_inside_ratio]]&lt;1,event_tree[[#This Row],[SOU_outside_ratio]]&lt;1),2)</f>
        <v>0</v>
      </c>
      <c r="AE142" t="b">
        <f>IF(event_tree[[#This Row],[remote_ratio]]&lt;1,2*(Inputs!$F$5-1))</f>
        <v>0</v>
      </c>
      <c r="AF142">
        <f>event_tree[[#This Row],[SOU_casualty]]+event_tree[[#This Row],[remote_casualty]]</f>
        <v>0</v>
      </c>
      <c r="AG142">
        <f>event_tree[[#This Row],[fire_frequency]]*event_tree[[#This Row],[probability_of_scenario]]</f>
        <v>2.0314476000000015E-7</v>
      </c>
      <c r="AH142">
        <f>event_tree[[#This Row],[total_casualty]]*event_tree[[#This Row],[fire_probability]]</f>
        <v>0</v>
      </c>
    </row>
    <row r="143" spans="1:34" x14ac:dyDescent="0.25">
      <c r="A143">
        <v>142</v>
      </c>
      <c r="B143" t="str" cm="1">
        <f t="array" ref="B14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3" t="str" cm="1">
        <f t="array" ref="C14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43" t="str" cm="1">
        <f t="array" ref="D14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43" t="str" cm="1">
        <f t="array" ref="E143">INDEX(sprinkler[sprinkler],
  1+MOD(QUOTIENT(ROW()-ROW($B$2),
     ROWS(manual_suppression[manual_suppression])*
     ROWS(door_open[door_open])*
     ROWS(smoke_seal[smoke_seal])
  ),
  ROWS(sprinkler[sprinkler]))
)</f>
        <v>Extinguish</v>
      </c>
      <c r="F143" t="str" cm="1">
        <f t="array" ref="F143">INDEX(manual_suppression[manual_suppression],
  1+MOD(QUOTIENT(ROW()-ROW($B$2),
     ROWS(door_open[door_open])*
     ROWS(smoke_seal[smoke_seal])
  ),
  ROWS(manual_suppression[manual_suppression]))
)</f>
        <v>Suppress</v>
      </c>
      <c r="G143" t="str" cm="1">
        <f t="array" ref="G143">INDEX(door_open[door_open],
  1+MOD(QUOTIENT(ROW()-ROW($B$2),
     ROWS(smoke_seal[smoke_seal])
  ),
  ROWS(door_open[door_open]))
)</f>
        <v>Open</v>
      </c>
      <c r="H143" t="str" cm="1">
        <f t="array" ref="H143">INDEX(smoke_seal[smoke_seal],
  1+MOD(ROW()-ROW($B$2), ROWS(smoke_seal[smoke_seal]))
)</f>
        <v>Success</v>
      </c>
      <c r="I143" t="str">
        <f>IF(event_tree[[#This Row],[door_open]]="Open","Open",IF(event_tree[[#This Row],[smoke_seal]]="Success","Close","Part"))</f>
        <v>Open</v>
      </c>
      <c r="J143">
        <f>IF(B143="apartment",Inputs!$I$7,Inputs!$I$6)</f>
        <v>1.2999999999999999E-3</v>
      </c>
      <c r="K143">
        <f>PRODUCT(
  INDEX(fire_location[Probability],MATCH($B143,fire_location[fire_location],0)),
  INDEX(smoke_detection_apt[Probability],MATCH($C143,smoke_detection_apt[smoke_detection_apt],0)),
  INDEX(smoke_detection_corridor[Probability],MATCH($D143,smoke_detection_corridor[smoke_detection_corridor],0)),
  INDEX(sprinkler[Probability],MATCH($E143,sprinkler[sprinkler],0)),
  INDEX(manual_suppression[Probability],MATCH($F143,manual_suppression[manual_suppression],0)),
  INDEX(door_open[Probability],MATCH($G143,door_open[door_open],0)),
  INDEX(smoke_seal[Probability],MATCH($H143,smoke_seal[smoke_seal],0))
)</f>
        <v>2.9020680000000027E-4</v>
      </c>
      <c r="L14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43" t="str">
        <f>event_tree[[#This Row],[ASET_scenario]]&amp;Inputs!$F$8</f>
        <v>X6</v>
      </c>
      <c r="N14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4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43" t="str">
        <f>event_tree[[#This Row],[fire_location]]&amp;Inputs!$F$8</f>
        <v>Corridor6</v>
      </c>
      <c r="Q14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43">
        <f>IF(event_tree[[#This Row],[fire_location]]="Apartment",Inputs!$F$11,Inputs!$F$12)</f>
        <v>600</v>
      </c>
      <c r="S143">
        <f>10+Inputs!$F$8</f>
        <v>16</v>
      </c>
      <c r="T14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43">
        <f>IF(event_tree[[#This Row],[fire_location]]="Apartment",Inputs!$F$12,Inputs!$F$11)</f>
        <v>60</v>
      </c>
      <c r="V143">
        <f>10+Inputs!$F$8</f>
        <v>16</v>
      </c>
      <c r="W143">
        <f>30</f>
        <v>30</v>
      </c>
      <c r="X143" t="str">
        <f>IF(event_tree[[#This Row],[ASET_scenario]]="X","extinguish",
   event_tree[[#This Row],[SOU_tdet]] + event_tree[[#This Row],[SOU_tpre]] + event_tree[[#This Row],[tnot]])</f>
        <v>extinguish</v>
      </c>
      <c r="Y143" t="str">
        <f>IF(event_tree[[#This Row],[ASET_scenario]]="X","extinguish",
   event_tree[[#This Row],[SOU_inside_RSET]] + event_tree[[#This Row],[SOU_ttrav]])</f>
        <v>extinguish</v>
      </c>
      <c r="Z14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43" t="str">
        <f>IF(event_tree[[#This Row],[ASET_scenario]]="X","extinguish", event_tree[[#This Row],[apt_ASET]]/event_tree[[#This Row],[SOU_inside_RSET]])</f>
        <v>extinguish</v>
      </c>
      <c r="AB143" t="str">
        <f>IF(event_tree[[#This Row],[ASET_scenario]]="X","extinguish",event_tree[[#This Row],[cor_ASET]]/event_tree[[#This Row],[SOU_outside_RSET]])</f>
        <v>extinguish</v>
      </c>
      <c r="AC143" t="str">
        <f>IF(event_tree[[#This Row],[ASET_scenario]]="X","extinguish",event_tree[[#This Row],[cor_ASET]]/event_tree[[#This Row],[remote_RSET]])</f>
        <v>extinguish</v>
      </c>
      <c r="AD143" t="b">
        <f>IF(OR(event_tree[[#This Row],[SOU_inside_ratio]]&lt;1,event_tree[[#This Row],[SOU_outside_ratio]]&lt;1),2)</f>
        <v>0</v>
      </c>
      <c r="AE143" t="b">
        <f>IF(event_tree[[#This Row],[remote_ratio]]&lt;1,2*(Inputs!$F$5-1))</f>
        <v>0</v>
      </c>
      <c r="AF143">
        <f>event_tree[[#This Row],[SOU_casualty]]+event_tree[[#This Row],[remote_casualty]]</f>
        <v>0</v>
      </c>
      <c r="AG143">
        <f>event_tree[[#This Row],[fire_frequency]]*event_tree[[#This Row],[probability_of_scenario]]</f>
        <v>3.7726884000000033E-7</v>
      </c>
      <c r="AH143">
        <f>event_tree[[#This Row],[total_casualty]]*event_tree[[#This Row],[fire_probability]]</f>
        <v>0</v>
      </c>
    </row>
    <row r="144" spans="1:34" x14ac:dyDescent="0.25">
      <c r="A144">
        <v>143</v>
      </c>
      <c r="B144" t="str" cm="1">
        <f t="array" ref="B14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4" t="str" cm="1">
        <f t="array" ref="C14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44" t="str" cm="1">
        <f t="array" ref="D14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44" t="str" cm="1">
        <f t="array" ref="E144">INDEX(sprinkler[sprinkler],
  1+MOD(QUOTIENT(ROW()-ROW($B$2),
     ROWS(manual_suppression[manual_suppression])*
     ROWS(door_open[door_open])*
     ROWS(smoke_seal[smoke_seal])
  ),
  ROWS(sprinkler[sprinkler]))
)</f>
        <v>Extinguish</v>
      </c>
      <c r="F144" t="str" cm="1">
        <f t="array" ref="F144">INDEX(manual_suppression[manual_suppression],
  1+MOD(QUOTIENT(ROW()-ROW($B$2),
     ROWS(door_open[door_open])*
     ROWS(smoke_seal[smoke_seal])
  ),
  ROWS(manual_suppression[manual_suppression]))
)</f>
        <v>Suppress</v>
      </c>
      <c r="G144" t="str" cm="1">
        <f t="array" ref="G144">INDEX(door_open[door_open],
  1+MOD(QUOTIENT(ROW()-ROW($B$2),
     ROWS(smoke_seal[smoke_seal])
  ),
  ROWS(door_open[door_open]))
)</f>
        <v>Closed</v>
      </c>
      <c r="H144" t="str" cm="1">
        <f t="array" ref="H144">INDEX(smoke_seal[smoke_seal],
  1+MOD(ROW()-ROW($B$2), ROWS(smoke_seal[smoke_seal]))
)</f>
        <v>Fail</v>
      </c>
      <c r="I144" t="str">
        <f>IF(event_tree[[#This Row],[door_open]]="Open","Open",IF(event_tree[[#This Row],[smoke_seal]]="Success","Close","Part"))</f>
        <v>Part</v>
      </c>
      <c r="J144">
        <f>IF(B144="apartment",Inputs!$I$7,Inputs!$I$6)</f>
        <v>1.2999999999999999E-3</v>
      </c>
      <c r="K144">
        <f>PRODUCT(
  INDEX(fire_location[Probability],MATCH($B144,fire_location[fire_location],0)),
  INDEX(smoke_detection_apt[Probability],MATCH($C144,smoke_detection_apt[smoke_detection_apt],0)),
  INDEX(smoke_detection_corridor[Probability],MATCH($D144,smoke_detection_corridor[smoke_detection_corridor],0)),
  INDEX(sprinkler[Probability],MATCH($E144,sprinkler[sprinkler],0)),
  INDEX(manual_suppression[Probability],MATCH($F144,manual_suppression[manual_suppression],0)),
  INDEX(door_open[Probability],MATCH($G144,door_open[door_open],0)),
  INDEX(smoke_seal[Probability],MATCH($H144,smoke_seal[smoke_seal],0))
)</f>
        <v>3.6461880000000026E-4</v>
      </c>
      <c r="L14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44" t="str">
        <f>event_tree[[#This Row],[ASET_scenario]]&amp;Inputs!$F$8</f>
        <v>X6</v>
      </c>
      <c r="N14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4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44" t="str">
        <f>event_tree[[#This Row],[fire_location]]&amp;Inputs!$F$8</f>
        <v>Corridor6</v>
      </c>
      <c r="Q14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44">
        <f>IF(event_tree[[#This Row],[fire_location]]="Apartment",Inputs!$F$11,Inputs!$F$12)</f>
        <v>600</v>
      </c>
      <c r="S144">
        <f>10+Inputs!$F$8</f>
        <v>16</v>
      </c>
      <c r="T14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44">
        <f>IF(event_tree[[#This Row],[fire_location]]="Apartment",Inputs!$F$12,Inputs!$F$11)</f>
        <v>60</v>
      </c>
      <c r="V144">
        <f>10+Inputs!$F$8</f>
        <v>16</v>
      </c>
      <c r="W144">
        <f>30</f>
        <v>30</v>
      </c>
      <c r="X144" t="str">
        <f>IF(event_tree[[#This Row],[ASET_scenario]]="X","extinguish",
   event_tree[[#This Row],[SOU_tdet]] + event_tree[[#This Row],[SOU_tpre]] + event_tree[[#This Row],[tnot]])</f>
        <v>extinguish</v>
      </c>
      <c r="Y144" t="str">
        <f>IF(event_tree[[#This Row],[ASET_scenario]]="X","extinguish",
   event_tree[[#This Row],[SOU_inside_RSET]] + event_tree[[#This Row],[SOU_ttrav]])</f>
        <v>extinguish</v>
      </c>
      <c r="Z14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44" t="str">
        <f>IF(event_tree[[#This Row],[ASET_scenario]]="X","extinguish", event_tree[[#This Row],[apt_ASET]]/event_tree[[#This Row],[SOU_inside_RSET]])</f>
        <v>extinguish</v>
      </c>
      <c r="AB144" t="str">
        <f>IF(event_tree[[#This Row],[ASET_scenario]]="X","extinguish",event_tree[[#This Row],[cor_ASET]]/event_tree[[#This Row],[SOU_outside_RSET]])</f>
        <v>extinguish</v>
      </c>
      <c r="AC144" t="str">
        <f>IF(event_tree[[#This Row],[ASET_scenario]]="X","extinguish",event_tree[[#This Row],[cor_ASET]]/event_tree[[#This Row],[remote_RSET]])</f>
        <v>extinguish</v>
      </c>
      <c r="AD144" t="b">
        <f>IF(OR(event_tree[[#This Row],[SOU_inside_ratio]]&lt;1,event_tree[[#This Row],[SOU_outside_ratio]]&lt;1),2)</f>
        <v>0</v>
      </c>
      <c r="AE144" t="b">
        <f>IF(event_tree[[#This Row],[remote_ratio]]&lt;1,2*(Inputs!$F$5-1))</f>
        <v>0</v>
      </c>
      <c r="AF144">
        <f>event_tree[[#This Row],[SOU_casualty]]+event_tree[[#This Row],[remote_casualty]]</f>
        <v>0</v>
      </c>
      <c r="AG144">
        <f>event_tree[[#This Row],[fire_frequency]]*event_tree[[#This Row],[probability_of_scenario]]</f>
        <v>4.7400444000000031E-7</v>
      </c>
      <c r="AH144">
        <f>event_tree[[#This Row],[total_casualty]]*event_tree[[#This Row],[fire_probability]]</f>
        <v>0</v>
      </c>
    </row>
    <row r="145" spans="1:34" x14ac:dyDescent="0.25">
      <c r="A145">
        <v>144</v>
      </c>
      <c r="B145" t="str" cm="1">
        <f t="array" ref="B14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5" t="str" cm="1">
        <f t="array" ref="C14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Activate</v>
      </c>
      <c r="D145" t="str" cm="1">
        <f t="array" ref="D14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45" t="str" cm="1">
        <f t="array" ref="E145">INDEX(sprinkler[sprinkler],
  1+MOD(QUOTIENT(ROW()-ROW($B$2),
     ROWS(manual_suppression[manual_suppression])*
     ROWS(door_open[door_open])*
     ROWS(smoke_seal[smoke_seal])
  ),
  ROWS(sprinkler[sprinkler]))
)</f>
        <v>Extinguish</v>
      </c>
      <c r="F145" t="str" cm="1">
        <f t="array" ref="F145">INDEX(manual_suppression[manual_suppression],
  1+MOD(QUOTIENT(ROW()-ROW($B$2),
     ROWS(door_open[door_open])*
     ROWS(smoke_seal[smoke_seal])
  ),
  ROWS(manual_suppression[manual_suppression]))
)</f>
        <v>Suppress</v>
      </c>
      <c r="G145" t="str" cm="1">
        <f t="array" ref="G145">INDEX(door_open[door_open],
  1+MOD(QUOTIENT(ROW()-ROW($B$2),
     ROWS(smoke_seal[smoke_seal])
  ),
  ROWS(door_open[door_open]))
)</f>
        <v>Closed</v>
      </c>
      <c r="H145" t="str" cm="1">
        <f t="array" ref="H145">INDEX(smoke_seal[smoke_seal],
  1+MOD(ROW()-ROW($B$2), ROWS(smoke_seal[smoke_seal]))
)</f>
        <v>Success</v>
      </c>
      <c r="I145" t="str">
        <f>IF(event_tree[[#This Row],[door_open]]="Open","Open",IF(event_tree[[#This Row],[smoke_seal]]="Success","Close","Part"))</f>
        <v>Close</v>
      </c>
      <c r="J145">
        <f>IF(B145="apartment",Inputs!$I$7,Inputs!$I$6)</f>
        <v>1.2999999999999999E-3</v>
      </c>
      <c r="K145">
        <f>PRODUCT(
  INDEX(fire_location[Probability],MATCH($B145,fire_location[fire_location],0)),
  INDEX(smoke_detection_apt[Probability],MATCH($C145,smoke_detection_apt[smoke_detection_apt],0)),
  INDEX(smoke_detection_corridor[Probability],MATCH($D145,smoke_detection_corridor[smoke_detection_corridor],0)),
  INDEX(sprinkler[Probability],MATCH($E145,sprinkler[sprinkler],0)),
  INDEX(manual_suppression[Probability],MATCH($F145,manual_suppression[manual_suppression],0)),
  INDEX(door_open[Probability],MATCH($G145,door_open[door_open],0)),
  INDEX(smoke_seal[Probability],MATCH($H145,smoke_seal[smoke_seal],0))
)</f>
        <v>6.7714920000000055E-4</v>
      </c>
      <c r="L14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45" t="str">
        <f>event_tree[[#This Row],[ASET_scenario]]&amp;Inputs!$F$8</f>
        <v>X6</v>
      </c>
      <c r="N14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4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45" t="str">
        <f>event_tree[[#This Row],[fire_location]]&amp;Inputs!$F$8</f>
        <v>Corridor6</v>
      </c>
      <c r="Q14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45">
        <f>IF(event_tree[[#This Row],[fire_location]]="Apartment",Inputs!$F$11,Inputs!$F$12)</f>
        <v>600</v>
      </c>
      <c r="S145">
        <f>10+Inputs!$F$8</f>
        <v>16</v>
      </c>
      <c r="T14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45">
        <f>IF(event_tree[[#This Row],[fire_location]]="Apartment",Inputs!$F$12,Inputs!$F$11)</f>
        <v>60</v>
      </c>
      <c r="V145">
        <f>10+Inputs!$F$8</f>
        <v>16</v>
      </c>
      <c r="W145">
        <f>30</f>
        <v>30</v>
      </c>
      <c r="X145" t="str">
        <f>IF(event_tree[[#This Row],[ASET_scenario]]="X","extinguish",
   event_tree[[#This Row],[SOU_tdet]] + event_tree[[#This Row],[SOU_tpre]] + event_tree[[#This Row],[tnot]])</f>
        <v>extinguish</v>
      </c>
      <c r="Y145" t="str">
        <f>IF(event_tree[[#This Row],[ASET_scenario]]="X","extinguish",
   event_tree[[#This Row],[SOU_inside_RSET]] + event_tree[[#This Row],[SOU_ttrav]])</f>
        <v>extinguish</v>
      </c>
      <c r="Z14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45" t="str">
        <f>IF(event_tree[[#This Row],[ASET_scenario]]="X","extinguish", event_tree[[#This Row],[apt_ASET]]/event_tree[[#This Row],[SOU_inside_RSET]])</f>
        <v>extinguish</v>
      </c>
      <c r="AB145" t="str">
        <f>IF(event_tree[[#This Row],[ASET_scenario]]="X","extinguish",event_tree[[#This Row],[cor_ASET]]/event_tree[[#This Row],[SOU_outside_RSET]])</f>
        <v>extinguish</v>
      </c>
      <c r="AC145" t="str">
        <f>IF(event_tree[[#This Row],[ASET_scenario]]="X","extinguish",event_tree[[#This Row],[cor_ASET]]/event_tree[[#This Row],[remote_RSET]])</f>
        <v>extinguish</v>
      </c>
      <c r="AD145" t="b">
        <f>IF(OR(event_tree[[#This Row],[SOU_inside_ratio]]&lt;1,event_tree[[#This Row],[SOU_outside_ratio]]&lt;1),2)</f>
        <v>0</v>
      </c>
      <c r="AE145" t="b">
        <f>IF(event_tree[[#This Row],[remote_ratio]]&lt;1,2*(Inputs!$F$5-1))</f>
        <v>0</v>
      </c>
      <c r="AF145">
        <f>event_tree[[#This Row],[SOU_casualty]]+event_tree[[#This Row],[remote_casualty]]</f>
        <v>0</v>
      </c>
      <c r="AG145">
        <f>event_tree[[#This Row],[fire_frequency]]*event_tree[[#This Row],[probability_of_scenario]]</f>
        <v>8.8029396000000071E-7</v>
      </c>
      <c r="AH145">
        <f>event_tree[[#This Row],[total_casualty]]*event_tree[[#This Row],[fire_probability]]</f>
        <v>0</v>
      </c>
    </row>
    <row r="146" spans="1:34" x14ac:dyDescent="0.25">
      <c r="A146">
        <v>145</v>
      </c>
      <c r="B146" t="str" cm="1">
        <f t="array" ref="B14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6" t="str" cm="1">
        <f t="array" ref="C14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46" t="str" cm="1">
        <f t="array" ref="D14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46" t="str" cm="1">
        <f t="array" ref="E146">INDEX(sprinkler[sprinkler],
  1+MOD(QUOTIENT(ROW()-ROW($B$2),
     ROWS(manual_suppression[manual_suppression])*
     ROWS(door_open[door_open])*
     ROWS(smoke_seal[smoke_seal])
  ),
  ROWS(sprinkler[sprinkler]))
)</f>
        <v>Fail</v>
      </c>
      <c r="F146" t="str" cm="1">
        <f t="array" ref="F146">INDEX(manual_suppression[manual_suppression],
  1+MOD(QUOTIENT(ROW()-ROW($B$2),
     ROWS(door_open[door_open])*
     ROWS(smoke_seal[smoke_seal])
  ),
  ROWS(manual_suppression[manual_suppression]))
)</f>
        <v>Fail</v>
      </c>
      <c r="G146" t="str" cm="1">
        <f t="array" ref="G146">INDEX(door_open[door_open],
  1+MOD(QUOTIENT(ROW()-ROW($B$2),
     ROWS(smoke_seal[smoke_seal])
  ),
  ROWS(door_open[door_open]))
)</f>
        <v>Open</v>
      </c>
      <c r="H146" t="str" cm="1">
        <f t="array" ref="H146">INDEX(smoke_seal[smoke_seal],
  1+MOD(ROW()-ROW($B$2), ROWS(smoke_seal[smoke_seal]))
)</f>
        <v>Fail</v>
      </c>
      <c r="I146" t="str">
        <f>IF(event_tree[[#This Row],[door_open]]="Open","Open",IF(event_tree[[#This Row],[smoke_seal]]="Success","Close","Part"))</f>
        <v>Open</v>
      </c>
      <c r="J146">
        <f>IF(B146="apartment",Inputs!$I$7,Inputs!$I$6)</f>
        <v>1.2999999999999999E-3</v>
      </c>
      <c r="K146">
        <f>PRODUCT(
  INDEX(fire_location[Probability],MATCH($B146,fire_location[fire_location],0)),
  INDEX(smoke_detection_apt[Probability],MATCH($C146,smoke_detection_apt[smoke_detection_apt],0)),
  INDEX(smoke_detection_corridor[Probability],MATCH($D146,smoke_detection_corridor[smoke_detection_corridor],0)),
  INDEX(sprinkler[Probability],MATCH($E146,sprinkler[sprinkler],0)),
  INDEX(manual_suppression[Probability],MATCH($F146,manual_suppression[manual_suppression],0)),
  INDEX(door_open[Probability],MATCH($G146,door_open[door_open],0)),
  INDEX(smoke_seal[Probability],MATCH($H146,smoke_seal[smoke_seal],0))
)</f>
        <v>1.7529750000000016E-5</v>
      </c>
      <c r="L14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G</v>
      </c>
      <c r="M146" t="str">
        <f>event_tree[[#This Row],[ASET_scenario]]&amp;Inputs!$F$8</f>
        <v>G6</v>
      </c>
      <c r="N146">
        <f>IF(OR(event_tree[[#This Row],[sprinkler]]="Extinguish",event_tree[[#This Row],[manual_suppression]]="Suppress"),"extinguish",_xlfn.XLOOKUP(event_tree[[#This Row],[ASET_helper1]],ASET_data[ASET_helper1],ASET_data[apt_ASET]))</f>
        <v>61</v>
      </c>
      <c r="O146">
        <f>IF(OR(event_tree[[#This Row],[sprinkler]]="Extinguish",event_tree[[#This Row],[manual_suppression]]="Suppress"),"extinguish",_xlfn.XLOOKUP(event_tree[[#This Row],[ASET_helper1]],ASET_data[ASET_helper1],ASET_data[cor_ASET]))</f>
        <v>39</v>
      </c>
      <c r="P146" t="str">
        <f>event_tree[[#This Row],[fire_location]]&amp;Inputs!$F$8</f>
        <v>Corridor6</v>
      </c>
      <c r="Q14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44</v>
      </c>
      <c r="R146">
        <f>IF(event_tree[[#This Row],[fire_location]]="Apartment",Inputs!$F$11,Inputs!$F$12)</f>
        <v>600</v>
      </c>
      <c r="S146">
        <f>10+Inputs!$F$8</f>
        <v>16</v>
      </c>
      <c r="T14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44</v>
      </c>
      <c r="U146">
        <f>IF(event_tree[[#This Row],[fire_location]]="Apartment",Inputs!$F$12,Inputs!$F$11)</f>
        <v>60</v>
      </c>
      <c r="V146">
        <f>10+Inputs!$F$8</f>
        <v>16</v>
      </c>
      <c r="W146">
        <f>30</f>
        <v>30</v>
      </c>
      <c r="X146">
        <f>IF(event_tree[[#This Row],[ASET_scenario]]="X","extinguish",
   event_tree[[#This Row],[SOU_tdet]] + event_tree[[#This Row],[SOU_tpre]] + event_tree[[#This Row],[tnot]])</f>
        <v>674</v>
      </c>
      <c r="Y146">
        <f>IF(event_tree[[#This Row],[ASET_scenario]]="X","extinguish",
   event_tree[[#This Row],[SOU_inside_RSET]] + event_tree[[#This Row],[SOU_ttrav]])</f>
        <v>690</v>
      </c>
      <c r="Z146">
        <f>IF(event_tree[[#This Row],[ASET_scenario]]="X","extinguish",
   event_tree[[#This Row],[remote_tdet]] + event_tree[[#This Row],[remote_tpre]] + event_tree[[#This Row],[remote_ttrav]] + event_tree[[#This Row],[tnot]])</f>
        <v>150</v>
      </c>
      <c r="AA146">
        <f>IF(event_tree[[#This Row],[ASET_scenario]]="X","extinguish", event_tree[[#This Row],[apt_ASET]]/event_tree[[#This Row],[SOU_inside_RSET]])</f>
        <v>9.050445103857567E-2</v>
      </c>
      <c r="AB146">
        <f>IF(event_tree[[#This Row],[ASET_scenario]]="X","extinguish",event_tree[[#This Row],[cor_ASET]]/event_tree[[#This Row],[SOU_outside_RSET]])</f>
        <v>5.6521739130434782E-2</v>
      </c>
      <c r="AC146">
        <f>IF(event_tree[[#This Row],[ASET_scenario]]="X","extinguish",event_tree[[#This Row],[cor_ASET]]/event_tree[[#This Row],[remote_RSET]])</f>
        <v>0.26</v>
      </c>
      <c r="AD146">
        <f>IF(OR(event_tree[[#This Row],[SOU_inside_ratio]]&lt;1,event_tree[[#This Row],[SOU_outside_ratio]]&lt;1),2)</f>
        <v>2</v>
      </c>
      <c r="AE146">
        <f>IF(event_tree[[#This Row],[remote_ratio]]&lt;1,2*(Inputs!$F$5-1))</f>
        <v>10</v>
      </c>
      <c r="AF146">
        <f>event_tree[[#This Row],[SOU_casualty]]+event_tree[[#This Row],[remote_casualty]]</f>
        <v>12</v>
      </c>
      <c r="AG146">
        <f>event_tree[[#This Row],[fire_frequency]]*event_tree[[#This Row],[probability_of_scenario]]</f>
        <v>2.2788675000000019E-8</v>
      </c>
      <c r="AH146">
        <f>event_tree[[#This Row],[total_casualty]]*event_tree[[#This Row],[fire_probability]]</f>
        <v>2.7346410000000022E-7</v>
      </c>
    </row>
    <row r="147" spans="1:34" x14ac:dyDescent="0.25">
      <c r="A147">
        <v>146</v>
      </c>
      <c r="B147" t="str" cm="1">
        <f t="array" ref="B14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7" t="str" cm="1">
        <f t="array" ref="C14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47" t="str" cm="1">
        <f t="array" ref="D14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47" t="str" cm="1">
        <f t="array" ref="E147">INDEX(sprinkler[sprinkler],
  1+MOD(QUOTIENT(ROW()-ROW($B$2),
     ROWS(manual_suppression[manual_suppression])*
     ROWS(door_open[door_open])*
     ROWS(smoke_seal[smoke_seal])
  ),
  ROWS(sprinkler[sprinkler]))
)</f>
        <v>Fail</v>
      </c>
      <c r="F147" t="str" cm="1">
        <f t="array" ref="F147">INDEX(manual_suppression[manual_suppression],
  1+MOD(QUOTIENT(ROW()-ROW($B$2),
     ROWS(door_open[door_open])*
     ROWS(smoke_seal[smoke_seal])
  ),
  ROWS(manual_suppression[manual_suppression]))
)</f>
        <v>Fail</v>
      </c>
      <c r="G147" t="str" cm="1">
        <f t="array" ref="G147">INDEX(door_open[door_open],
  1+MOD(QUOTIENT(ROW()-ROW($B$2),
     ROWS(smoke_seal[smoke_seal])
  ),
  ROWS(door_open[door_open]))
)</f>
        <v>Open</v>
      </c>
      <c r="H147" t="str" cm="1">
        <f t="array" ref="H147">INDEX(smoke_seal[smoke_seal],
  1+MOD(ROW()-ROW($B$2), ROWS(smoke_seal[smoke_seal]))
)</f>
        <v>Success</v>
      </c>
      <c r="I147" t="str">
        <f>IF(event_tree[[#This Row],[door_open]]="Open","Open",IF(event_tree[[#This Row],[smoke_seal]]="Success","Close","Part"))</f>
        <v>Open</v>
      </c>
      <c r="J147">
        <f>IF(B147="apartment",Inputs!$I$7,Inputs!$I$6)</f>
        <v>1.2999999999999999E-3</v>
      </c>
      <c r="K147">
        <f>PRODUCT(
  INDEX(fire_location[Probability],MATCH($B147,fire_location[fire_location],0)),
  INDEX(smoke_detection_apt[Probability],MATCH($C147,smoke_detection_apt[smoke_detection_apt],0)),
  INDEX(smoke_detection_corridor[Probability],MATCH($D147,smoke_detection_corridor[smoke_detection_corridor],0)),
  INDEX(sprinkler[Probability],MATCH($E147,sprinkler[sprinkler],0)),
  INDEX(manual_suppression[Probability],MATCH($F147,manual_suppression[manual_suppression],0)),
  INDEX(door_open[Probability],MATCH($G147,door_open[door_open],0)),
  INDEX(smoke_seal[Probability],MATCH($H147,smoke_seal[smoke_seal],0))
)</f>
        <v>3.2555250000000034E-5</v>
      </c>
      <c r="L14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G</v>
      </c>
      <c r="M147" t="str">
        <f>event_tree[[#This Row],[ASET_scenario]]&amp;Inputs!$F$8</f>
        <v>G6</v>
      </c>
      <c r="N147">
        <f>IF(OR(event_tree[[#This Row],[sprinkler]]="Extinguish",event_tree[[#This Row],[manual_suppression]]="Suppress"),"extinguish",_xlfn.XLOOKUP(event_tree[[#This Row],[ASET_helper1]],ASET_data[ASET_helper1],ASET_data[apt_ASET]))</f>
        <v>61</v>
      </c>
      <c r="O147">
        <f>IF(OR(event_tree[[#This Row],[sprinkler]]="Extinguish",event_tree[[#This Row],[manual_suppression]]="Suppress"),"extinguish",_xlfn.XLOOKUP(event_tree[[#This Row],[ASET_helper1]],ASET_data[ASET_helper1],ASET_data[cor_ASET]))</f>
        <v>39</v>
      </c>
      <c r="P147" t="str">
        <f>event_tree[[#This Row],[fire_location]]&amp;Inputs!$F$8</f>
        <v>Corridor6</v>
      </c>
      <c r="Q14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44</v>
      </c>
      <c r="R147">
        <f>IF(event_tree[[#This Row],[fire_location]]="Apartment",Inputs!$F$11,Inputs!$F$12)</f>
        <v>600</v>
      </c>
      <c r="S147">
        <f>10+Inputs!$F$8</f>
        <v>16</v>
      </c>
      <c r="T14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44</v>
      </c>
      <c r="U147">
        <f>IF(event_tree[[#This Row],[fire_location]]="Apartment",Inputs!$F$12,Inputs!$F$11)</f>
        <v>60</v>
      </c>
      <c r="V147">
        <f>10+Inputs!$F$8</f>
        <v>16</v>
      </c>
      <c r="W147">
        <f>30</f>
        <v>30</v>
      </c>
      <c r="X147">
        <f>IF(event_tree[[#This Row],[ASET_scenario]]="X","extinguish",
   event_tree[[#This Row],[SOU_tdet]] + event_tree[[#This Row],[SOU_tpre]] + event_tree[[#This Row],[tnot]])</f>
        <v>674</v>
      </c>
      <c r="Y147">
        <f>IF(event_tree[[#This Row],[ASET_scenario]]="X","extinguish",
   event_tree[[#This Row],[SOU_inside_RSET]] + event_tree[[#This Row],[SOU_ttrav]])</f>
        <v>690</v>
      </c>
      <c r="Z147">
        <f>IF(event_tree[[#This Row],[ASET_scenario]]="X","extinguish",
   event_tree[[#This Row],[remote_tdet]] + event_tree[[#This Row],[remote_tpre]] + event_tree[[#This Row],[remote_ttrav]] + event_tree[[#This Row],[tnot]])</f>
        <v>150</v>
      </c>
      <c r="AA147">
        <f>IF(event_tree[[#This Row],[ASET_scenario]]="X","extinguish", event_tree[[#This Row],[apt_ASET]]/event_tree[[#This Row],[SOU_inside_RSET]])</f>
        <v>9.050445103857567E-2</v>
      </c>
      <c r="AB147">
        <f>IF(event_tree[[#This Row],[ASET_scenario]]="X","extinguish",event_tree[[#This Row],[cor_ASET]]/event_tree[[#This Row],[SOU_outside_RSET]])</f>
        <v>5.6521739130434782E-2</v>
      </c>
      <c r="AC147">
        <f>IF(event_tree[[#This Row],[ASET_scenario]]="X","extinguish",event_tree[[#This Row],[cor_ASET]]/event_tree[[#This Row],[remote_RSET]])</f>
        <v>0.26</v>
      </c>
      <c r="AD147">
        <f>IF(OR(event_tree[[#This Row],[SOU_inside_ratio]]&lt;1,event_tree[[#This Row],[SOU_outside_ratio]]&lt;1),2)</f>
        <v>2</v>
      </c>
      <c r="AE147">
        <f>IF(event_tree[[#This Row],[remote_ratio]]&lt;1,2*(Inputs!$F$5-1))</f>
        <v>10</v>
      </c>
      <c r="AF147">
        <f>event_tree[[#This Row],[SOU_casualty]]+event_tree[[#This Row],[remote_casualty]]</f>
        <v>12</v>
      </c>
      <c r="AG147">
        <f>event_tree[[#This Row],[fire_frequency]]*event_tree[[#This Row],[probability_of_scenario]]</f>
        <v>4.232182500000004E-8</v>
      </c>
      <c r="AH147">
        <f>event_tree[[#This Row],[total_casualty]]*event_tree[[#This Row],[fire_probability]]</f>
        <v>5.0786190000000054E-7</v>
      </c>
    </row>
    <row r="148" spans="1:34" x14ac:dyDescent="0.25">
      <c r="A148">
        <v>147</v>
      </c>
      <c r="B148" t="str" cm="1">
        <f t="array" ref="B14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8" t="str" cm="1">
        <f t="array" ref="C14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48" t="str" cm="1">
        <f t="array" ref="D14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48" t="str" cm="1">
        <f t="array" ref="E148">INDEX(sprinkler[sprinkler],
  1+MOD(QUOTIENT(ROW()-ROW($B$2),
     ROWS(manual_suppression[manual_suppression])*
     ROWS(door_open[door_open])*
     ROWS(smoke_seal[smoke_seal])
  ),
  ROWS(sprinkler[sprinkler]))
)</f>
        <v>Fail</v>
      </c>
      <c r="F148" t="str" cm="1">
        <f t="array" ref="F148">INDEX(manual_suppression[manual_suppression],
  1+MOD(QUOTIENT(ROW()-ROW($B$2),
     ROWS(door_open[door_open])*
     ROWS(smoke_seal[smoke_seal])
  ),
  ROWS(manual_suppression[manual_suppression]))
)</f>
        <v>Fail</v>
      </c>
      <c r="G148" t="str" cm="1">
        <f t="array" ref="G148">INDEX(door_open[door_open],
  1+MOD(QUOTIENT(ROW()-ROW($B$2),
     ROWS(smoke_seal[smoke_seal])
  ),
  ROWS(door_open[door_open]))
)</f>
        <v>Closed</v>
      </c>
      <c r="H148" t="str" cm="1">
        <f t="array" ref="H148">INDEX(smoke_seal[smoke_seal],
  1+MOD(ROW()-ROW($B$2), ROWS(smoke_seal[smoke_seal]))
)</f>
        <v>Fail</v>
      </c>
      <c r="I148" t="str">
        <f>IF(event_tree[[#This Row],[door_open]]="Open","Open",IF(event_tree[[#This Row],[smoke_seal]]="Success","Close","Part"))</f>
        <v>Part</v>
      </c>
      <c r="J148">
        <f>IF(B148="apartment",Inputs!$I$7,Inputs!$I$6)</f>
        <v>1.2999999999999999E-3</v>
      </c>
      <c r="K148">
        <f>PRODUCT(
  INDEX(fire_location[Probability],MATCH($B148,fire_location[fire_location],0)),
  INDEX(smoke_detection_apt[Probability],MATCH($C148,smoke_detection_apt[smoke_detection_apt],0)),
  INDEX(smoke_detection_corridor[Probability],MATCH($D148,smoke_detection_corridor[smoke_detection_corridor],0)),
  INDEX(sprinkler[Probability],MATCH($E148,sprinkler[sprinkler],0)),
  INDEX(manual_suppression[Probability],MATCH($F148,manual_suppression[manual_suppression],0)),
  INDEX(door_open[Probability],MATCH($G148,door_open[door_open],0)),
  INDEX(smoke_seal[Probability],MATCH($H148,smoke_seal[smoke_seal],0))
)</f>
        <v>4.0902750000000041E-5</v>
      </c>
      <c r="L14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I</v>
      </c>
      <c r="M148" t="str">
        <f>event_tree[[#This Row],[ASET_scenario]]&amp;Inputs!$F$8</f>
        <v>I6</v>
      </c>
      <c r="N148">
        <f>IF(OR(event_tree[[#This Row],[sprinkler]]="Extinguish",event_tree[[#This Row],[manual_suppression]]="Suppress"),"extinguish",_xlfn.XLOOKUP(event_tree[[#This Row],[ASET_helper1]],ASET_data[ASET_helper1],ASET_data[apt_ASET]))</f>
        <v>96</v>
      </c>
      <c r="O148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48" t="str">
        <f>event_tree[[#This Row],[fire_location]]&amp;Inputs!$F$8</f>
        <v>Corridor6</v>
      </c>
      <c r="Q14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39</v>
      </c>
      <c r="R148">
        <f>IF(event_tree[[#This Row],[fire_location]]="Apartment",Inputs!$F$11,Inputs!$F$12)</f>
        <v>600</v>
      </c>
      <c r="S148">
        <f>10+Inputs!$F$8</f>
        <v>16</v>
      </c>
      <c r="T14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48">
        <f>IF(event_tree[[#This Row],[fire_location]]="Apartment",Inputs!$F$12,Inputs!$F$11)</f>
        <v>60</v>
      </c>
      <c r="V148">
        <f>10+Inputs!$F$8</f>
        <v>16</v>
      </c>
      <c r="W148">
        <f>30</f>
        <v>30</v>
      </c>
      <c r="X148">
        <f>IF(event_tree[[#This Row],[ASET_scenario]]="X","extinguish",
   event_tree[[#This Row],[SOU_tdet]] + event_tree[[#This Row],[SOU_tpre]] + event_tree[[#This Row],[tnot]])</f>
        <v>669</v>
      </c>
      <c r="Y148">
        <f>IF(event_tree[[#This Row],[ASET_scenario]]="X","extinguish",
   event_tree[[#This Row],[SOU_inside_RSET]] + event_tree[[#This Row],[SOU_ttrav]])</f>
        <v>685</v>
      </c>
      <c r="Z148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48">
        <f>IF(event_tree[[#This Row],[ASET_scenario]]="X","extinguish", event_tree[[#This Row],[apt_ASET]]/event_tree[[#This Row],[SOU_inside_RSET]])</f>
        <v>0.14349775784753363</v>
      </c>
      <c r="AB148">
        <f>IF(event_tree[[#This Row],[ASET_scenario]]="X","extinguish",event_tree[[#This Row],[cor_ASET]]/event_tree[[#This Row],[SOU_outside_RSET]])</f>
        <v>3.2116788321167884E-2</v>
      </c>
      <c r="AC148">
        <f>IF(event_tree[[#This Row],[ASET_scenario]]="X","extinguish",event_tree[[#This Row],[cor_ASET]]/event_tree[[#This Row],[remote_RSET]])</f>
        <v>0.15172413793103448</v>
      </c>
      <c r="AD148">
        <f>IF(OR(event_tree[[#This Row],[SOU_inside_ratio]]&lt;1,event_tree[[#This Row],[SOU_outside_ratio]]&lt;1),2)</f>
        <v>2</v>
      </c>
      <c r="AE148">
        <f>IF(event_tree[[#This Row],[remote_ratio]]&lt;1,2*(Inputs!$F$5-1))</f>
        <v>10</v>
      </c>
      <c r="AF148">
        <f>event_tree[[#This Row],[SOU_casualty]]+event_tree[[#This Row],[remote_casualty]]</f>
        <v>12</v>
      </c>
      <c r="AG148">
        <f>event_tree[[#This Row],[fire_frequency]]*event_tree[[#This Row],[probability_of_scenario]]</f>
        <v>5.317357500000005E-8</v>
      </c>
      <c r="AH148">
        <f>event_tree[[#This Row],[total_casualty]]*event_tree[[#This Row],[fire_probability]]</f>
        <v>6.3808290000000063E-7</v>
      </c>
    </row>
    <row r="149" spans="1:34" x14ac:dyDescent="0.25">
      <c r="A149">
        <v>148</v>
      </c>
      <c r="B149" t="str" cm="1">
        <f t="array" ref="B14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49" t="str" cm="1">
        <f t="array" ref="C14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49" t="str" cm="1">
        <f t="array" ref="D14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49" t="str" cm="1">
        <f t="array" ref="E149">INDEX(sprinkler[sprinkler],
  1+MOD(QUOTIENT(ROW()-ROW($B$2),
     ROWS(manual_suppression[manual_suppression])*
     ROWS(door_open[door_open])*
     ROWS(smoke_seal[smoke_seal])
  ),
  ROWS(sprinkler[sprinkler]))
)</f>
        <v>Fail</v>
      </c>
      <c r="F149" t="str" cm="1">
        <f t="array" ref="F149">INDEX(manual_suppression[manual_suppression],
  1+MOD(QUOTIENT(ROW()-ROW($B$2),
     ROWS(door_open[door_open])*
     ROWS(smoke_seal[smoke_seal])
  ),
  ROWS(manual_suppression[manual_suppression]))
)</f>
        <v>Fail</v>
      </c>
      <c r="G149" t="str" cm="1">
        <f t="array" ref="G149">INDEX(door_open[door_open],
  1+MOD(QUOTIENT(ROW()-ROW($B$2),
     ROWS(smoke_seal[smoke_seal])
  ),
  ROWS(door_open[door_open]))
)</f>
        <v>Closed</v>
      </c>
      <c r="H149" t="str" cm="1">
        <f t="array" ref="H149">INDEX(smoke_seal[smoke_seal],
  1+MOD(ROW()-ROW($B$2), ROWS(smoke_seal[smoke_seal]))
)</f>
        <v>Success</v>
      </c>
      <c r="I149" t="str">
        <f>IF(event_tree[[#This Row],[door_open]]="Open","Open",IF(event_tree[[#This Row],[smoke_seal]]="Success","Close","Part"))</f>
        <v>Close</v>
      </c>
      <c r="J149">
        <f>IF(B149="apartment",Inputs!$I$7,Inputs!$I$6)</f>
        <v>1.2999999999999999E-3</v>
      </c>
      <c r="K149">
        <f>PRODUCT(
  INDEX(fire_location[Probability],MATCH($B149,fire_location[fire_location],0)),
  INDEX(smoke_detection_apt[Probability],MATCH($C149,smoke_detection_apt[smoke_detection_apt],0)),
  INDEX(smoke_detection_corridor[Probability],MATCH($D149,smoke_detection_corridor[smoke_detection_corridor],0)),
  INDEX(sprinkler[Probability],MATCH($E149,sprinkler[sprinkler],0)),
  INDEX(manual_suppression[Probability],MATCH($F149,manual_suppression[manual_suppression],0)),
  INDEX(door_open[Probability],MATCH($G149,door_open[door_open],0)),
  INDEX(smoke_seal[Probability],MATCH($H149,smoke_seal[smoke_seal],0))
)</f>
        <v>7.5962250000000087E-5</v>
      </c>
      <c r="L14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H</v>
      </c>
      <c r="M149" t="str">
        <f>event_tree[[#This Row],[ASET_scenario]]&amp;Inputs!$F$8</f>
        <v>H6</v>
      </c>
      <c r="N149">
        <f>IF(OR(event_tree[[#This Row],[sprinkler]]="Extinguish",event_tree[[#This Row],[manual_suppression]]="Suppress"),"extinguish",_xlfn.XLOOKUP(event_tree[[#This Row],[ASET_helper1]],ASET_data[ASET_helper1],ASET_data[apt_ASET]))</f>
        <v>3600</v>
      </c>
      <c r="O149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49" t="str">
        <f>event_tree[[#This Row],[fire_location]]&amp;Inputs!$F$8</f>
        <v>Corridor6</v>
      </c>
      <c r="Q14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39</v>
      </c>
      <c r="R149">
        <f>IF(event_tree[[#This Row],[fire_location]]="Apartment",Inputs!$F$11,Inputs!$F$12)</f>
        <v>600</v>
      </c>
      <c r="S149">
        <f>10+Inputs!$F$8</f>
        <v>16</v>
      </c>
      <c r="T14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49">
        <f>IF(event_tree[[#This Row],[fire_location]]="Apartment",Inputs!$F$12,Inputs!$F$11)</f>
        <v>60</v>
      </c>
      <c r="V149">
        <f>10+Inputs!$F$8</f>
        <v>16</v>
      </c>
      <c r="W149">
        <f>30</f>
        <v>30</v>
      </c>
      <c r="X149">
        <f>IF(event_tree[[#This Row],[ASET_scenario]]="X","extinguish",
   event_tree[[#This Row],[SOU_tdet]] + event_tree[[#This Row],[SOU_tpre]] + event_tree[[#This Row],[tnot]])</f>
        <v>669</v>
      </c>
      <c r="Y149">
        <f>IF(event_tree[[#This Row],[ASET_scenario]]="X","extinguish",
   event_tree[[#This Row],[SOU_inside_RSET]] + event_tree[[#This Row],[SOU_ttrav]])</f>
        <v>685</v>
      </c>
      <c r="Z149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49">
        <f>IF(event_tree[[#This Row],[ASET_scenario]]="X","extinguish", event_tree[[#This Row],[apt_ASET]]/event_tree[[#This Row],[SOU_inside_RSET]])</f>
        <v>5.3811659192825116</v>
      </c>
      <c r="AB149">
        <f>IF(event_tree[[#This Row],[ASET_scenario]]="X","extinguish",event_tree[[#This Row],[cor_ASET]]/event_tree[[#This Row],[SOU_outside_RSET]])</f>
        <v>3.2116788321167884E-2</v>
      </c>
      <c r="AC149">
        <f>IF(event_tree[[#This Row],[ASET_scenario]]="X","extinguish",event_tree[[#This Row],[cor_ASET]]/event_tree[[#This Row],[remote_RSET]])</f>
        <v>0.15172413793103448</v>
      </c>
      <c r="AD149">
        <f>IF(OR(event_tree[[#This Row],[SOU_inside_ratio]]&lt;1,event_tree[[#This Row],[SOU_outside_ratio]]&lt;1),2)</f>
        <v>2</v>
      </c>
      <c r="AE149">
        <f>IF(event_tree[[#This Row],[remote_ratio]]&lt;1,2*(Inputs!$F$5-1))</f>
        <v>10</v>
      </c>
      <c r="AF149">
        <f>event_tree[[#This Row],[SOU_casualty]]+event_tree[[#This Row],[remote_casualty]]</f>
        <v>12</v>
      </c>
      <c r="AG149">
        <f>event_tree[[#This Row],[fire_frequency]]*event_tree[[#This Row],[probability_of_scenario]]</f>
        <v>9.8750925000000107E-8</v>
      </c>
      <c r="AH149">
        <f>event_tree[[#This Row],[total_casualty]]*event_tree[[#This Row],[fire_probability]]</f>
        <v>1.1850111000000014E-6</v>
      </c>
    </row>
    <row r="150" spans="1:34" x14ac:dyDescent="0.25">
      <c r="A150">
        <v>149</v>
      </c>
      <c r="B150" t="str" cm="1">
        <f t="array" ref="B15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0" t="str" cm="1">
        <f t="array" ref="C15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0" t="str" cm="1">
        <f t="array" ref="D15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0" t="str" cm="1">
        <f t="array" ref="E150">INDEX(sprinkler[sprinkler],
  1+MOD(QUOTIENT(ROW()-ROW($B$2),
     ROWS(manual_suppression[manual_suppression])*
     ROWS(door_open[door_open])*
     ROWS(smoke_seal[smoke_seal])
  ),
  ROWS(sprinkler[sprinkler]))
)</f>
        <v>Fail</v>
      </c>
      <c r="F150" t="str" cm="1">
        <f t="array" ref="F150">INDEX(manual_suppression[manual_suppression],
  1+MOD(QUOTIENT(ROW()-ROW($B$2),
     ROWS(door_open[door_open])*
     ROWS(smoke_seal[smoke_seal])
  ),
  ROWS(manual_suppression[manual_suppression]))
)</f>
        <v>Suppress</v>
      </c>
      <c r="G150" t="str" cm="1">
        <f t="array" ref="G150">INDEX(door_open[door_open],
  1+MOD(QUOTIENT(ROW()-ROW($B$2),
     ROWS(smoke_seal[smoke_seal])
  ),
  ROWS(door_open[door_open]))
)</f>
        <v>Open</v>
      </c>
      <c r="H150" t="str" cm="1">
        <f t="array" ref="H150">INDEX(smoke_seal[smoke_seal],
  1+MOD(ROW()-ROW($B$2), ROWS(smoke_seal[smoke_seal]))
)</f>
        <v>Fail</v>
      </c>
      <c r="I150" t="str">
        <f>IF(event_tree[[#This Row],[door_open]]="Open","Open",IF(event_tree[[#This Row],[smoke_seal]]="Success","Close","Part"))</f>
        <v>Open</v>
      </c>
      <c r="J150">
        <f>IF(B150="apartment",Inputs!$I$7,Inputs!$I$6)</f>
        <v>1.2999999999999999E-3</v>
      </c>
      <c r="K150">
        <f>PRODUCT(
  INDEX(fire_location[Probability],MATCH($B150,fire_location[fire_location],0)),
  INDEX(smoke_detection_apt[Probability],MATCH($C150,smoke_detection_apt[smoke_detection_apt],0)),
  INDEX(smoke_detection_corridor[Probability],MATCH($D150,smoke_detection_corridor[smoke_detection_corridor],0)),
  INDEX(sprinkler[Probability],MATCH($E150,sprinkler[sprinkler],0)),
  INDEX(manual_suppression[Probability],MATCH($F150,manual_suppression[manual_suppression],0)),
  INDEX(door_open[Probability],MATCH($G150,door_open[door_open],0)),
  INDEX(smoke_seal[Probability],MATCH($H150,smoke_seal[smoke_seal],0))
)</f>
        <v>3.2555250000000034E-5</v>
      </c>
      <c r="L15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50" t="str">
        <f>event_tree[[#This Row],[ASET_scenario]]&amp;Inputs!$F$8</f>
        <v>X6</v>
      </c>
      <c r="N15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5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50" t="str">
        <f>event_tree[[#This Row],[fire_location]]&amp;Inputs!$F$8</f>
        <v>Corridor6</v>
      </c>
      <c r="Q15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50">
        <f>IF(event_tree[[#This Row],[fire_location]]="Apartment",Inputs!$F$11,Inputs!$F$12)</f>
        <v>600</v>
      </c>
      <c r="S150">
        <f>10+Inputs!$F$8</f>
        <v>16</v>
      </c>
      <c r="T15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50">
        <f>IF(event_tree[[#This Row],[fire_location]]="Apartment",Inputs!$F$12,Inputs!$F$11)</f>
        <v>60</v>
      </c>
      <c r="V150">
        <f>10+Inputs!$F$8</f>
        <v>16</v>
      </c>
      <c r="W150">
        <f>30</f>
        <v>30</v>
      </c>
      <c r="X150" t="str">
        <f>IF(event_tree[[#This Row],[ASET_scenario]]="X","extinguish",
   event_tree[[#This Row],[SOU_tdet]] + event_tree[[#This Row],[SOU_tpre]] + event_tree[[#This Row],[tnot]])</f>
        <v>extinguish</v>
      </c>
      <c r="Y150" t="str">
        <f>IF(event_tree[[#This Row],[ASET_scenario]]="X","extinguish",
   event_tree[[#This Row],[SOU_inside_RSET]] + event_tree[[#This Row],[SOU_ttrav]])</f>
        <v>extinguish</v>
      </c>
      <c r="Z15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50" t="str">
        <f>IF(event_tree[[#This Row],[ASET_scenario]]="X","extinguish", event_tree[[#This Row],[apt_ASET]]/event_tree[[#This Row],[SOU_inside_RSET]])</f>
        <v>extinguish</v>
      </c>
      <c r="AB150" t="str">
        <f>IF(event_tree[[#This Row],[ASET_scenario]]="X","extinguish",event_tree[[#This Row],[cor_ASET]]/event_tree[[#This Row],[SOU_outside_RSET]])</f>
        <v>extinguish</v>
      </c>
      <c r="AC150" t="str">
        <f>IF(event_tree[[#This Row],[ASET_scenario]]="X","extinguish",event_tree[[#This Row],[cor_ASET]]/event_tree[[#This Row],[remote_RSET]])</f>
        <v>extinguish</v>
      </c>
      <c r="AD150" t="b">
        <f>IF(OR(event_tree[[#This Row],[SOU_inside_ratio]]&lt;1,event_tree[[#This Row],[SOU_outside_ratio]]&lt;1),2)</f>
        <v>0</v>
      </c>
      <c r="AE150" t="b">
        <f>IF(event_tree[[#This Row],[remote_ratio]]&lt;1,2*(Inputs!$F$5-1))</f>
        <v>0</v>
      </c>
      <c r="AF150">
        <f>event_tree[[#This Row],[SOU_casualty]]+event_tree[[#This Row],[remote_casualty]]</f>
        <v>0</v>
      </c>
      <c r="AG150">
        <f>event_tree[[#This Row],[fire_frequency]]*event_tree[[#This Row],[probability_of_scenario]]</f>
        <v>4.232182500000004E-8</v>
      </c>
      <c r="AH150">
        <f>event_tree[[#This Row],[total_casualty]]*event_tree[[#This Row],[fire_probability]]</f>
        <v>0</v>
      </c>
    </row>
    <row r="151" spans="1:34" x14ac:dyDescent="0.25">
      <c r="A151">
        <v>150</v>
      </c>
      <c r="B151" t="str" cm="1">
        <f t="array" ref="B15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1" t="str" cm="1">
        <f t="array" ref="C15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1" t="str" cm="1">
        <f t="array" ref="D15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1" t="str" cm="1">
        <f t="array" ref="E151">INDEX(sprinkler[sprinkler],
  1+MOD(QUOTIENT(ROW()-ROW($B$2),
     ROWS(manual_suppression[manual_suppression])*
     ROWS(door_open[door_open])*
     ROWS(smoke_seal[smoke_seal])
  ),
  ROWS(sprinkler[sprinkler]))
)</f>
        <v>Fail</v>
      </c>
      <c r="F151" t="str" cm="1">
        <f t="array" ref="F151">INDEX(manual_suppression[manual_suppression],
  1+MOD(QUOTIENT(ROW()-ROW($B$2),
     ROWS(door_open[door_open])*
     ROWS(smoke_seal[smoke_seal])
  ),
  ROWS(manual_suppression[manual_suppression]))
)</f>
        <v>Suppress</v>
      </c>
      <c r="G151" t="str" cm="1">
        <f t="array" ref="G151">INDEX(door_open[door_open],
  1+MOD(QUOTIENT(ROW()-ROW($B$2),
     ROWS(smoke_seal[smoke_seal])
  ),
  ROWS(door_open[door_open]))
)</f>
        <v>Open</v>
      </c>
      <c r="H151" t="str" cm="1">
        <f t="array" ref="H151">INDEX(smoke_seal[smoke_seal],
  1+MOD(ROW()-ROW($B$2), ROWS(smoke_seal[smoke_seal]))
)</f>
        <v>Success</v>
      </c>
      <c r="I151" t="str">
        <f>IF(event_tree[[#This Row],[door_open]]="Open","Open",IF(event_tree[[#This Row],[smoke_seal]]="Success","Close","Part"))</f>
        <v>Open</v>
      </c>
      <c r="J151">
        <f>IF(B151="apartment",Inputs!$I$7,Inputs!$I$6)</f>
        <v>1.2999999999999999E-3</v>
      </c>
      <c r="K151">
        <f>PRODUCT(
  INDEX(fire_location[Probability],MATCH($B151,fire_location[fire_location],0)),
  INDEX(smoke_detection_apt[Probability],MATCH($C151,smoke_detection_apt[smoke_detection_apt],0)),
  INDEX(smoke_detection_corridor[Probability],MATCH($D151,smoke_detection_corridor[smoke_detection_corridor],0)),
  INDEX(sprinkler[Probability],MATCH($E151,sprinkler[sprinkler],0)),
  INDEX(manual_suppression[Probability],MATCH($F151,manual_suppression[manual_suppression],0)),
  INDEX(door_open[Probability],MATCH($G151,door_open[door_open],0)),
  INDEX(smoke_seal[Probability],MATCH($H151,smoke_seal[smoke_seal],0))
)</f>
        <v>6.0459750000000064E-5</v>
      </c>
      <c r="L15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51" t="str">
        <f>event_tree[[#This Row],[ASET_scenario]]&amp;Inputs!$F$8</f>
        <v>X6</v>
      </c>
      <c r="N15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5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51" t="str">
        <f>event_tree[[#This Row],[fire_location]]&amp;Inputs!$F$8</f>
        <v>Corridor6</v>
      </c>
      <c r="Q15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51">
        <f>IF(event_tree[[#This Row],[fire_location]]="Apartment",Inputs!$F$11,Inputs!$F$12)</f>
        <v>600</v>
      </c>
      <c r="S151">
        <f>10+Inputs!$F$8</f>
        <v>16</v>
      </c>
      <c r="T15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51">
        <f>IF(event_tree[[#This Row],[fire_location]]="Apartment",Inputs!$F$12,Inputs!$F$11)</f>
        <v>60</v>
      </c>
      <c r="V151">
        <f>10+Inputs!$F$8</f>
        <v>16</v>
      </c>
      <c r="W151">
        <f>30</f>
        <v>30</v>
      </c>
      <c r="X151" t="str">
        <f>IF(event_tree[[#This Row],[ASET_scenario]]="X","extinguish",
   event_tree[[#This Row],[SOU_tdet]] + event_tree[[#This Row],[SOU_tpre]] + event_tree[[#This Row],[tnot]])</f>
        <v>extinguish</v>
      </c>
      <c r="Y151" t="str">
        <f>IF(event_tree[[#This Row],[ASET_scenario]]="X","extinguish",
   event_tree[[#This Row],[SOU_inside_RSET]] + event_tree[[#This Row],[SOU_ttrav]])</f>
        <v>extinguish</v>
      </c>
      <c r="Z15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51" t="str">
        <f>IF(event_tree[[#This Row],[ASET_scenario]]="X","extinguish", event_tree[[#This Row],[apt_ASET]]/event_tree[[#This Row],[SOU_inside_RSET]])</f>
        <v>extinguish</v>
      </c>
      <c r="AB151" t="str">
        <f>IF(event_tree[[#This Row],[ASET_scenario]]="X","extinguish",event_tree[[#This Row],[cor_ASET]]/event_tree[[#This Row],[SOU_outside_RSET]])</f>
        <v>extinguish</v>
      </c>
      <c r="AC151" t="str">
        <f>IF(event_tree[[#This Row],[ASET_scenario]]="X","extinguish",event_tree[[#This Row],[cor_ASET]]/event_tree[[#This Row],[remote_RSET]])</f>
        <v>extinguish</v>
      </c>
      <c r="AD151" t="b">
        <f>IF(OR(event_tree[[#This Row],[SOU_inside_ratio]]&lt;1,event_tree[[#This Row],[SOU_outside_ratio]]&lt;1),2)</f>
        <v>0</v>
      </c>
      <c r="AE151" t="b">
        <f>IF(event_tree[[#This Row],[remote_ratio]]&lt;1,2*(Inputs!$F$5-1))</f>
        <v>0</v>
      </c>
      <c r="AF151">
        <f>event_tree[[#This Row],[SOU_casualty]]+event_tree[[#This Row],[remote_casualty]]</f>
        <v>0</v>
      </c>
      <c r="AG151">
        <f>event_tree[[#This Row],[fire_frequency]]*event_tree[[#This Row],[probability_of_scenario]]</f>
        <v>7.8597675000000078E-8</v>
      </c>
      <c r="AH151">
        <f>event_tree[[#This Row],[total_casualty]]*event_tree[[#This Row],[fire_probability]]</f>
        <v>0</v>
      </c>
    </row>
    <row r="152" spans="1:34" x14ac:dyDescent="0.25">
      <c r="A152">
        <v>151</v>
      </c>
      <c r="B152" t="str" cm="1">
        <f t="array" ref="B15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2" t="str" cm="1">
        <f t="array" ref="C15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2" t="str" cm="1">
        <f t="array" ref="D15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2" t="str" cm="1">
        <f t="array" ref="E152">INDEX(sprinkler[sprinkler],
  1+MOD(QUOTIENT(ROW()-ROW($B$2),
     ROWS(manual_suppression[manual_suppression])*
     ROWS(door_open[door_open])*
     ROWS(smoke_seal[smoke_seal])
  ),
  ROWS(sprinkler[sprinkler]))
)</f>
        <v>Fail</v>
      </c>
      <c r="F152" t="str" cm="1">
        <f t="array" ref="F152">INDEX(manual_suppression[manual_suppression],
  1+MOD(QUOTIENT(ROW()-ROW($B$2),
     ROWS(door_open[door_open])*
     ROWS(smoke_seal[smoke_seal])
  ),
  ROWS(manual_suppression[manual_suppression]))
)</f>
        <v>Suppress</v>
      </c>
      <c r="G152" t="str" cm="1">
        <f t="array" ref="G152">INDEX(door_open[door_open],
  1+MOD(QUOTIENT(ROW()-ROW($B$2),
     ROWS(smoke_seal[smoke_seal])
  ),
  ROWS(door_open[door_open]))
)</f>
        <v>Closed</v>
      </c>
      <c r="H152" t="str" cm="1">
        <f t="array" ref="H152">INDEX(smoke_seal[smoke_seal],
  1+MOD(ROW()-ROW($B$2), ROWS(smoke_seal[smoke_seal]))
)</f>
        <v>Fail</v>
      </c>
      <c r="I152" t="str">
        <f>IF(event_tree[[#This Row],[door_open]]="Open","Open",IF(event_tree[[#This Row],[smoke_seal]]="Success","Close","Part"))</f>
        <v>Part</v>
      </c>
      <c r="J152">
        <f>IF(B152="apartment",Inputs!$I$7,Inputs!$I$6)</f>
        <v>1.2999999999999999E-3</v>
      </c>
      <c r="K152">
        <f>PRODUCT(
  INDEX(fire_location[Probability],MATCH($B152,fire_location[fire_location],0)),
  INDEX(smoke_detection_apt[Probability],MATCH($C152,smoke_detection_apt[smoke_detection_apt],0)),
  INDEX(smoke_detection_corridor[Probability],MATCH($D152,smoke_detection_corridor[smoke_detection_corridor],0)),
  INDEX(sprinkler[Probability],MATCH($E152,sprinkler[sprinkler],0)),
  INDEX(manual_suppression[Probability],MATCH($F152,manual_suppression[manual_suppression],0)),
  INDEX(door_open[Probability],MATCH($G152,door_open[door_open],0)),
  INDEX(smoke_seal[Probability],MATCH($H152,smoke_seal[smoke_seal],0))
)</f>
        <v>7.5962250000000074E-5</v>
      </c>
      <c r="L15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52" t="str">
        <f>event_tree[[#This Row],[ASET_scenario]]&amp;Inputs!$F$8</f>
        <v>X6</v>
      </c>
      <c r="N15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5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52" t="str">
        <f>event_tree[[#This Row],[fire_location]]&amp;Inputs!$F$8</f>
        <v>Corridor6</v>
      </c>
      <c r="Q15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52">
        <f>IF(event_tree[[#This Row],[fire_location]]="Apartment",Inputs!$F$11,Inputs!$F$12)</f>
        <v>600</v>
      </c>
      <c r="S152">
        <f>10+Inputs!$F$8</f>
        <v>16</v>
      </c>
      <c r="T15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52">
        <f>IF(event_tree[[#This Row],[fire_location]]="Apartment",Inputs!$F$12,Inputs!$F$11)</f>
        <v>60</v>
      </c>
      <c r="V152">
        <f>10+Inputs!$F$8</f>
        <v>16</v>
      </c>
      <c r="W152">
        <f>30</f>
        <v>30</v>
      </c>
      <c r="X152" t="str">
        <f>IF(event_tree[[#This Row],[ASET_scenario]]="X","extinguish",
   event_tree[[#This Row],[SOU_tdet]] + event_tree[[#This Row],[SOU_tpre]] + event_tree[[#This Row],[tnot]])</f>
        <v>extinguish</v>
      </c>
      <c r="Y152" t="str">
        <f>IF(event_tree[[#This Row],[ASET_scenario]]="X","extinguish",
   event_tree[[#This Row],[SOU_inside_RSET]] + event_tree[[#This Row],[SOU_ttrav]])</f>
        <v>extinguish</v>
      </c>
      <c r="Z15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52" t="str">
        <f>IF(event_tree[[#This Row],[ASET_scenario]]="X","extinguish", event_tree[[#This Row],[apt_ASET]]/event_tree[[#This Row],[SOU_inside_RSET]])</f>
        <v>extinguish</v>
      </c>
      <c r="AB152" t="str">
        <f>IF(event_tree[[#This Row],[ASET_scenario]]="X","extinguish",event_tree[[#This Row],[cor_ASET]]/event_tree[[#This Row],[SOU_outside_RSET]])</f>
        <v>extinguish</v>
      </c>
      <c r="AC152" t="str">
        <f>IF(event_tree[[#This Row],[ASET_scenario]]="X","extinguish",event_tree[[#This Row],[cor_ASET]]/event_tree[[#This Row],[remote_RSET]])</f>
        <v>extinguish</v>
      </c>
      <c r="AD152" t="b">
        <f>IF(OR(event_tree[[#This Row],[SOU_inside_ratio]]&lt;1,event_tree[[#This Row],[SOU_outside_ratio]]&lt;1),2)</f>
        <v>0</v>
      </c>
      <c r="AE152" t="b">
        <f>IF(event_tree[[#This Row],[remote_ratio]]&lt;1,2*(Inputs!$F$5-1))</f>
        <v>0</v>
      </c>
      <c r="AF152">
        <f>event_tree[[#This Row],[SOU_casualty]]+event_tree[[#This Row],[remote_casualty]]</f>
        <v>0</v>
      </c>
      <c r="AG152">
        <f>event_tree[[#This Row],[fire_frequency]]*event_tree[[#This Row],[probability_of_scenario]]</f>
        <v>9.8750925000000094E-8</v>
      </c>
      <c r="AH152">
        <f>event_tree[[#This Row],[total_casualty]]*event_tree[[#This Row],[fire_probability]]</f>
        <v>0</v>
      </c>
    </row>
    <row r="153" spans="1:34" x14ac:dyDescent="0.25">
      <c r="A153">
        <v>152</v>
      </c>
      <c r="B153" t="str" cm="1">
        <f t="array" ref="B15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3" t="str" cm="1">
        <f t="array" ref="C15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3" t="str" cm="1">
        <f t="array" ref="D15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3" t="str" cm="1">
        <f t="array" ref="E153">INDEX(sprinkler[sprinkler],
  1+MOD(QUOTIENT(ROW()-ROW($B$2),
     ROWS(manual_suppression[manual_suppression])*
     ROWS(door_open[door_open])*
     ROWS(smoke_seal[smoke_seal])
  ),
  ROWS(sprinkler[sprinkler]))
)</f>
        <v>Fail</v>
      </c>
      <c r="F153" t="str" cm="1">
        <f t="array" ref="F153">INDEX(manual_suppression[manual_suppression],
  1+MOD(QUOTIENT(ROW()-ROW($B$2),
     ROWS(door_open[door_open])*
     ROWS(smoke_seal[smoke_seal])
  ),
  ROWS(manual_suppression[manual_suppression]))
)</f>
        <v>Suppress</v>
      </c>
      <c r="G153" t="str" cm="1">
        <f t="array" ref="G153">INDEX(door_open[door_open],
  1+MOD(QUOTIENT(ROW()-ROW($B$2),
     ROWS(smoke_seal[smoke_seal])
  ),
  ROWS(door_open[door_open]))
)</f>
        <v>Closed</v>
      </c>
      <c r="H153" t="str" cm="1">
        <f t="array" ref="H153">INDEX(smoke_seal[smoke_seal],
  1+MOD(ROW()-ROW($B$2), ROWS(smoke_seal[smoke_seal]))
)</f>
        <v>Success</v>
      </c>
      <c r="I153" t="str">
        <f>IF(event_tree[[#This Row],[door_open]]="Open","Open",IF(event_tree[[#This Row],[smoke_seal]]="Success","Close","Part"))</f>
        <v>Close</v>
      </c>
      <c r="J153">
        <f>IF(B153="apartment",Inputs!$I$7,Inputs!$I$6)</f>
        <v>1.2999999999999999E-3</v>
      </c>
      <c r="K153">
        <f>PRODUCT(
  INDEX(fire_location[Probability],MATCH($B153,fire_location[fire_location],0)),
  INDEX(smoke_detection_apt[Probability],MATCH($C153,smoke_detection_apt[smoke_detection_apt],0)),
  INDEX(smoke_detection_corridor[Probability],MATCH($D153,smoke_detection_corridor[smoke_detection_corridor],0)),
  INDEX(sprinkler[Probability],MATCH($E153,sprinkler[sprinkler],0)),
  INDEX(manual_suppression[Probability],MATCH($F153,manual_suppression[manual_suppression],0)),
  INDEX(door_open[Probability],MATCH($G153,door_open[door_open],0)),
  INDEX(smoke_seal[Probability],MATCH($H153,smoke_seal[smoke_seal],0))
)</f>
        <v>1.4107275000000015E-4</v>
      </c>
      <c r="L15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53" t="str">
        <f>event_tree[[#This Row],[ASET_scenario]]&amp;Inputs!$F$8</f>
        <v>X6</v>
      </c>
      <c r="N15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5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53" t="str">
        <f>event_tree[[#This Row],[fire_location]]&amp;Inputs!$F$8</f>
        <v>Corridor6</v>
      </c>
      <c r="Q15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53">
        <f>IF(event_tree[[#This Row],[fire_location]]="Apartment",Inputs!$F$11,Inputs!$F$12)</f>
        <v>600</v>
      </c>
      <c r="S153">
        <f>10+Inputs!$F$8</f>
        <v>16</v>
      </c>
      <c r="T15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53">
        <f>IF(event_tree[[#This Row],[fire_location]]="Apartment",Inputs!$F$12,Inputs!$F$11)</f>
        <v>60</v>
      </c>
      <c r="V153">
        <f>10+Inputs!$F$8</f>
        <v>16</v>
      </c>
      <c r="W153">
        <f>30</f>
        <v>30</v>
      </c>
      <c r="X153" t="str">
        <f>IF(event_tree[[#This Row],[ASET_scenario]]="X","extinguish",
   event_tree[[#This Row],[SOU_tdet]] + event_tree[[#This Row],[SOU_tpre]] + event_tree[[#This Row],[tnot]])</f>
        <v>extinguish</v>
      </c>
      <c r="Y153" t="str">
        <f>IF(event_tree[[#This Row],[ASET_scenario]]="X","extinguish",
   event_tree[[#This Row],[SOU_inside_RSET]] + event_tree[[#This Row],[SOU_ttrav]])</f>
        <v>extinguish</v>
      </c>
      <c r="Z15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53" t="str">
        <f>IF(event_tree[[#This Row],[ASET_scenario]]="X","extinguish", event_tree[[#This Row],[apt_ASET]]/event_tree[[#This Row],[SOU_inside_RSET]])</f>
        <v>extinguish</v>
      </c>
      <c r="AB153" t="str">
        <f>IF(event_tree[[#This Row],[ASET_scenario]]="X","extinguish",event_tree[[#This Row],[cor_ASET]]/event_tree[[#This Row],[SOU_outside_RSET]])</f>
        <v>extinguish</v>
      </c>
      <c r="AC153" t="str">
        <f>IF(event_tree[[#This Row],[ASET_scenario]]="X","extinguish",event_tree[[#This Row],[cor_ASET]]/event_tree[[#This Row],[remote_RSET]])</f>
        <v>extinguish</v>
      </c>
      <c r="AD153" t="b">
        <f>IF(OR(event_tree[[#This Row],[SOU_inside_ratio]]&lt;1,event_tree[[#This Row],[SOU_outside_ratio]]&lt;1),2)</f>
        <v>0</v>
      </c>
      <c r="AE153" t="b">
        <f>IF(event_tree[[#This Row],[remote_ratio]]&lt;1,2*(Inputs!$F$5-1))</f>
        <v>0</v>
      </c>
      <c r="AF153">
        <f>event_tree[[#This Row],[SOU_casualty]]+event_tree[[#This Row],[remote_casualty]]</f>
        <v>0</v>
      </c>
      <c r="AG153">
        <f>event_tree[[#This Row],[fire_frequency]]*event_tree[[#This Row],[probability_of_scenario]]</f>
        <v>1.8339457500000019E-7</v>
      </c>
      <c r="AH153">
        <f>event_tree[[#This Row],[total_casualty]]*event_tree[[#This Row],[fire_probability]]</f>
        <v>0</v>
      </c>
    </row>
    <row r="154" spans="1:34" x14ac:dyDescent="0.25">
      <c r="A154">
        <v>153</v>
      </c>
      <c r="B154" t="str" cm="1">
        <f t="array" ref="B15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4" t="str" cm="1">
        <f t="array" ref="C15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4" t="str" cm="1">
        <f t="array" ref="D15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4" t="str" cm="1">
        <f t="array" ref="E154">INDEX(sprinkler[sprinkler],
  1+MOD(QUOTIENT(ROW()-ROW($B$2),
     ROWS(manual_suppression[manual_suppression])*
     ROWS(door_open[door_open])*
     ROWS(smoke_seal[smoke_seal])
  ),
  ROWS(sprinkler[sprinkler]))
)</f>
        <v>Control</v>
      </c>
      <c r="F154" t="str" cm="1">
        <f t="array" ref="F154">INDEX(manual_suppression[manual_suppression],
  1+MOD(QUOTIENT(ROW()-ROW($B$2),
     ROWS(door_open[door_open])*
     ROWS(smoke_seal[smoke_seal])
  ),
  ROWS(manual_suppression[manual_suppression]))
)</f>
        <v>Fail</v>
      </c>
      <c r="G154" t="str" cm="1">
        <f t="array" ref="G154">INDEX(door_open[door_open],
  1+MOD(QUOTIENT(ROW()-ROW($B$2),
     ROWS(smoke_seal[smoke_seal])
  ),
  ROWS(door_open[door_open]))
)</f>
        <v>Open</v>
      </c>
      <c r="H154" t="str" cm="1">
        <f t="array" ref="H154">INDEX(smoke_seal[smoke_seal],
  1+MOD(ROW()-ROW($B$2), ROWS(smoke_seal[smoke_seal]))
)</f>
        <v>Fail</v>
      </c>
      <c r="I154" t="str">
        <f>IF(event_tree[[#This Row],[door_open]]="Open","Open",IF(event_tree[[#This Row],[smoke_seal]]="Success","Close","Part"))</f>
        <v>Open</v>
      </c>
      <c r="J154">
        <f>IF(B154="apartment",Inputs!$I$7,Inputs!$I$6)</f>
        <v>1.2999999999999999E-3</v>
      </c>
      <c r="K154">
        <f>PRODUCT(
  INDEX(fire_location[Probability],MATCH($B154,fire_location[fire_location],0)),
  INDEX(smoke_detection_apt[Probability],MATCH($C154,smoke_detection_apt[smoke_detection_apt],0)),
  INDEX(smoke_detection_corridor[Probability],MATCH($D154,smoke_detection_corridor[smoke_detection_corridor],0)),
  INDEX(sprinkler[Probability],MATCH($E154,sprinkler[sprinkler],0)),
  INDEX(manual_suppression[Probability],MATCH($F154,manual_suppression[manual_suppression],0)),
  INDEX(door_open[Probability],MATCH($G154,door_open[door_open],0)),
  INDEX(smoke_seal[Probability],MATCH($H154,smoke_seal[smoke_seal],0))
)</f>
        <v>7.3624950000000065E-5</v>
      </c>
      <c r="L15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J</v>
      </c>
      <c r="M154" t="str">
        <f>event_tree[[#This Row],[ASET_scenario]]&amp;Inputs!$F$8</f>
        <v>J6</v>
      </c>
      <c r="N154">
        <f>IF(OR(event_tree[[#This Row],[sprinkler]]="Extinguish",event_tree[[#This Row],[manual_suppression]]="Suppress"),"extinguish",_xlfn.XLOOKUP(event_tree[[#This Row],[ASET_helper1]],ASET_data[ASET_helper1],ASET_data[apt_ASET]))</f>
        <v>80</v>
      </c>
      <c r="O154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54" t="str">
        <f>event_tree[[#This Row],[fire_location]]&amp;Inputs!$F$8</f>
        <v>Corridor6</v>
      </c>
      <c r="Q15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39</v>
      </c>
      <c r="R154">
        <f>IF(event_tree[[#This Row],[fire_location]]="Apartment",Inputs!$F$11,Inputs!$F$12)</f>
        <v>600</v>
      </c>
      <c r="S154">
        <f>10+Inputs!$F$8</f>
        <v>16</v>
      </c>
      <c r="T15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54">
        <f>IF(event_tree[[#This Row],[fire_location]]="Apartment",Inputs!$F$12,Inputs!$F$11)</f>
        <v>60</v>
      </c>
      <c r="V154">
        <f>10+Inputs!$F$8</f>
        <v>16</v>
      </c>
      <c r="W154">
        <f>30</f>
        <v>30</v>
      </c>
      <c r="X154">
        <f>IF(event_tree[[#This Row],[ASET_scenario]]="X","extinguish",
   event_tree[[#This Row],[SOU_tdet]] + event_tree[[#This Row],[SOU_tpre]] + event_tree[[#This Row],[tnot]])</f>
        <v>669</v>
      </c>
      <c r="Y154">
        <f>IF(event_tree[[#This Row],[ASET_scenario]]="X","extinguish",
   event_tree[[#This Row],[SOU_inside_RSET]] + event_tree[[#This Row],[SOU_ttrav]])</f>
        <v>685</v>
      </c>
      <c r="Z154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54">
        <f>IF(event_tree[[#This Row],[ASET_scenario]]="X","extinguish", event_tree[[#This Row],[apt_ASET]]/event_tree[[#This Row],[SOU_inside_RSET]])</f>
        <v>0.11958146487294469</v>
      </c>
      <c r="AB154">
        <f>IF(event_tree[[#This Row],[ASET_scenario]]="X","extinguish",event_tree[[#This Row],[cor_ASET]]/event_tree[[#This Row],[SOU_outside_RSET]])</f>
        <v>3.2116788321167884E-2</v>
      </c>
      <c r="AC154">
        <f>IF(event_tree[[#This Row],[ASET_scenario]]="X","extinguish",event_tree[[#This Row],[cor_ASET]]/event_tree[[#This Row],[remote_RSET]])</f>
        <v>0.15172413793103448</v>
      </c>
      <c r="AD154">
        <f>IF(OR(event_tree[[#This Row],[SOU_inside_ratio]]&lt;1,event_tree[[#This Row],[SOU_outside_ratio]]&lt;1),2)</f>
        <v>2</v>
      </c>
      <c r="AE154">
        <f>IF(event_tree[[#This Row],[remote_ratio]]&lt;1,2*(Inputs!$F$5-1))</f>
        <v>10</v>
      </c>
      <c r="AF154">
        <f>event_tree[[#This Row],[SOU_casualty]]+event_tree[[#This Row],[remote_casualty]]</f>
        <v>12</v>
      </c>
      <c r="AG154">
        <f>event_tree[[#This Row],[fire_frequency]]*event_tree[[#This Row],[probability_of_scenario]]</f>
        <v>9.5712435000000086E-8</v>
      </c>
      <c r="AH154">
        <f>event_tree[[#This Row],[total_casualty]]*event_tree[[#This Row],[fire_probability]]</f>
        <v>1.148549220000001E-6</v>
      </c>
    </row>
    <row r="155" spans="1:34" x14ac:dyDescent="0.25">
      <c r="A155">
        <v>154</v>
      </c>
      <c r="B155" t="str" cm="1">
        <f t="array" ref="B15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5" t="str" cm="1">
        <f t="array" ref="C15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5" t="str" cm="1">
        <f t="array" ref="D15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5" t="str" cm="1">
        <f t="array" ref="E155">INDEX(sprinkler[sprinkler],
  1+MOD(QUOTIENT(ROW()-ROW($B$2),
     ROWS(manual_suppression[manual_suppression])*
     ROWS(door_open[door_open])*
     ROWS(smoke_seal[smoke_seal])
  ),
  ROWS(sprinkler[sprinkler]))
)</f>
        <v>Control</v>
      </c>
      <c r="F155" t="str" cm="1">
        <f t="array" ref="F155">INDEX(manual_suppression[manual_suppression],
  1+MOD(QUOTIENT(ROW()-ROW($B$2),
     ROWS(door_open[door_open])*
     ROWS(smoke_seal[smoke_seal])
  ),
  ROWS(manual_suppression[manual_suppression]))
)</f>
        <v>Fail</v>
      </c>
      <c r="G155" t="str" cm="1">
        <f t="array" ref="G155">INDEX(door_open[door_open],
  1+MOD(QUOTIENT(ROW()-ROW($B$2),
     ROWS(smoke_seal[smoke_seal])
  ),
  ROWS(door_open[door_open]))
)</f>
        <v>Open</v>
      </c>
      <c r="H155" t="str" cm="1">
        <f t="array" ref="H155">INDEX(smoke_seal[smoke_seal],
  1+MOD(ROW()-ROW($B$2), ROWS(smoke_seal[smoke_seal]))
)</f>
        <v>Success</v>
      </c>
      <c r="I155" t="str">
        <f>IF(event_tree[[#This Row],[door_open]]="Open","Open",IF(event_tree[[#This Row],[smoke_seal]]="Success","Close","Part"))</f>
        <v>Open</v>
      </c>
      <c r="J155">
        <f>IF(B155="apartment",Inputs!$I$7,Inputs!$I$6)</f>
        <v>1.2999999999999999E-3</v>
      </c>
      <c r="K155">
        <f>PRODUCT(
  INDEX(fire_location[Probability],MATCH($B155,fire_location[fire_location],0)),
  INDEX(smoke_detection_apt[Probability],MATCH($C155,smoke_detection_apt[smoke_detection_apt],0)),
  INDEX(smoke_detection_corridor[Probability],MATCH($D155,smoke_detection_corridor[smoke_detection_corridor],0)),
  INDEX(sprinkler[Probability],MATCH($E155,sprinkler[sprinkler],0)),
  INDEX(manual_suppression[Probability],MATCH($F155,manual_suppression[manual_suppression],0)),
  INDEX(door_open[Probability],MATCH($G155,door_open[door_open],0)),
  INDEX(smoke_seal[Probability],MATCH($H155,smoke_seal[smoke_seal],0))
)</f>
        <v>1.3673205000000013E-4</v>
      </c>
      <c r="L15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J</v>
      </c>
      <c r="M155" t="str">
        <f>event_tree[[#This Row],[ASET_scenario]]&amp;Inputs!$F$8</f>
        <v>J6</v>
      </c>
      <c r="N155">
        <f>IF(OR(event_tree[[#This Row],[sprinkler]]="Extinguish",event_tree[[#This Row],[manual_suppression]]="Suppress"),"extinguish",_xlfn.XLOOKUP(event_tree[[#This Row],[ASET_helper1]],ASET_data[ASET_helper1],ASET_data[apt_ASET]))</f>
        <v>80</v>
      </c>
      <c r="O155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55" t="str">
        <f>event_tree[[#This Row],[fire_location]]&amp;Inputs!$F$8</f>
        <v>Corridor6</v>
      </c>
      <c r="Q15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39</v>
      </c>
      <c r="R155">
        <f>IF(event_tree[[#This Row],[fire_location]]="Apartment",Inputs!$F$11,Inputs!$F$12)</f>
        <v>600</v>
      </c>
      <c r="S155">
        <f>10+Inputs!$F$8</f>
        <v>16</v>
      </c>
      <c r="T15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55">
        <f>IF(event_tree[[#This Row],[fire_location]]="Apartment",Inputs!$F$12,Inputs!$F$11)</f>
        <v>60</v>
      </c>
      <c r="V155">
        <f>10+Inputs!$F$8</f>
        <v>16</v>
      </c>
      <c r="W155">
        <f>30</f>
        <v>30</v>
      </c>
      <c r="X155">
        <f>IF(event_tree[[#This Row],[ASET_scenario]]="X","extinguish",
   event_tree[[#This Row],[SOU_tdet]] + event_tree[[#This Row],[SOU_tpre]] + event_tree[[#This Row],[tnot]])</f>
        <v>669</v>
      </c>
      <c r="Y155">
        <f>IF(event_tree[[#This Row],[ASET_scenario]]="X","extinguish",
   event_tree[[#This Row],[SOU_inside_RSET]] + event_tree[[#This Row],[SOU_ttrav]])</f>
        <v>685</v>
      </c>
      <c r="Z155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55">
        <f>IF(event_tree[[#This Row],[ASET_scenario]]="X","extinguish", event_tree[[#This Row],[apt_ASET]]/event_tree[[#This Row],[SOU_inside_RSET]])</f>
        <v>0.11958146487294469</v>
      </c>
      <c r="AB155">
        <f>IF(event_tree[[#This Row],[ASET_scenario]]="X","extinguish",event_tree[[#This Row],[cor_ASET]]/event_tree[[#This Row],[SOU_outside_RSET]])</f>
        <v>3.2116788321167884E-2</v>
      </c>
      <c r="AC155">
        <f>IF(event_tree[[#This Row],[ASET_scenario]]="X","extinguish",event_tree[[#This Row],[cor_ASET]]/event_tree[[#This Row],[remote_RSET]])</f>
        <v>0.15172413793103448</v>
      </c>
      <c r="AD155">
        <f>IF(OR(event_tree[[#This Row],[SOU_inside_ratio]]&lt;1,event_tree[[#This Row],[SOU_outside_ratio]]&lt;1),2)</f>
        <v>2</v>
      </c>
      <c r="AE155">
        <f>IF(event_tree[[#This Row],[remote_ratio]]&lt;1,2*(Inputs!$F$5-1))</f>
        <v>10</v>
      </c>
      <c r="AF155">
        <f>event_tree[[#This Row],[SOU_casualty]]+event_tree[[#This Row],[remote_casualty]]</f>
        <v>12</v>
      </c>
      <c r="AG155">
        <f>event_tree[[#This Row],[fire_frequency]]*event_tree[[#This Row],[probability_of_scenario]]</f>
        <v>1.7775166500000015E-7</v>
      </c>
      <c r="AH155">
        <f>event_tree[[#This Row],[total_casualty]]*event_tree[[#This Row],[fire_probability]]</f>
        <v>2.1330199800000019E-6</v>
      </c>
    </row>
    <row r="156" spans="1:34" x14ac:dyDescent="0.25">
      <c r="A156">
        <v>155</v>
      </c>
      <c r="B156" t="str" cm="1">
        <f t="array" ref="B15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6" t="str" cm="1">
        <f t="array" ref="C15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6" t="str" cm="1">
        <f t="array" ref="D15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6" t="str" cm="1">
        <f t="array" ref="E156">INDEX(sprinkler[sprinkler],
  1+MOD(QUOTIENT(ROW()-ROW($B$2),
     ROWS(manual_suppression[manual_suppression])*
     ROWS(door_open[door_open])*
     ROWS(smoke_seal[smoke_seal])
  ),
  ROWS(sprinkler[sprinkler]))
)</f>
        <v>Control</v>
      </c>
      <c r="F156" t="str" cm="1">
        <f t="array" ref="F156">INDEX(manual_suppression[manual_suppression],
  1+MOD(QUOTIENT(ROW()-ROW($B$2),
     ROWS(door_open[door_open])*
     ROWS(smoke_seal[smoke_seal])
  ),
  ROWS(manual_suppression[manual_suppression]))
)</f>
        <v>Fail</v>
      </c>
      <c r="G156" t="str" cm="1">
        <f t="array" ref="G156">INDEX(door_open[door_open],
  1+MOD(QUOTIENT(ROW()-ROW($B$2),
     ROWS(smoke_seal[smoke_seal])
  ),
  ROWS(door_open[door_open]))
)</f>
        <v>Closed</v>
      </c>
      <c r="H156" t="str" cm="1">
        <f t="array" ref="H156">INDEX(smoke_seal[smoke_seal],
  1+MOD(ROW()-ROW($B$2), ROWS(smoke_seal[smoke_seal]))
)</f>
        <v>Fail</v>
      </c>
      <c r="I156" t="str">
        <f>IF(event_tree[[#This Row],[door_open]]="Open","Open",IF(event_tree[[#This Row],[smoke_seal]]="Success","Close","Part"))</f>
        <v>Part</v>
      </c>
      <c r="J156">
        <f>IF(B156="apartment",Inputs!$I$7,Inputs!$I$6)</f>
        <v>1.2999999999999999E-3</v>
      </c>
      <c r="K156">
        <f>PRODUCT(
  INDEX(fire_location[Probability],MATCH($B156,fire_location[fire_location],0)),
  INDEX(smoke_detection_apt[Probability],MATCH($C156,smoke_detection_apt[smoke_detection_apt],0)),
  INDEX(smoke_detection_corridor[Probability],MATCH($D156,smoke_detection_corridor[smoke_detection_corridor],0)),
  INDEX(sprinkler[Probability],MATCH($E156,sprinkler[sprinkler],0)),
  INDEX(manual_suppression[Probability],MATCH($F156,manual_suppression[manual_suppression],0)),
  INDEX(door_open[Probability],MATCH($G156,door_open[door_open],0)),
  INDEX(smoke_seal[Probability],MATCH($H156,smoke_seal[smoke_seal],0))
)</f>
        <v>1.7179155000000013E-4</v>
      </c>
      <c r="L15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L</v>
      </c>
      <c r="M156" t="str">
        <f>event_tree[[#This Row],[ASET_scenario]]&amp;Inputs!$F$8</f>
        <v>L6</v>
      </c>
      <c r="N156">
        <f>IF(OR(event_tree[[#This Row],[sprinkler]]="Extinguish",event_tree[[#This Row],[manual_suppression]]="Suppress"),"extinguish",_xlfn.XLOOKUP(event_tree[[#This Row],[ASET_helper1]],ASET_data[ASET_helper1],ASET_data[apt_ASET]))</f>
        <v>96</v>
      </c>
      <c r="O156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56" t="str">
        <f>event_tree[[#This Row],[fire_location]]&amp;Inputs!$F$8</f>
        <v>Corridor6</v>
      </c>
      <c r="Q15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39</v>
      </c>
      <c r="R156">
        <f>IF(event_tree[[#This Row],[fire_location]]="Apartment",Inputs!$F$11,Inputs!$F$12)</f>
        <v>600</v>
      </c>
      <c r="S156">
        <f>10+Inputs!$F$8</f>
        <v>16</v>
      </c>
      <c r="T15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56">
        <f>IF(event_tree[[#This Row],[fire_location]]="Apartment",Inputs!$F$12,Inputs!$F$11)</f>
        <v>60</v>
      </c>
      <c r="V156">
        <f>10+Inputs!$F$8</f>
        <v>16</v>
      </c>
      <c r="W156">
        <f>30</f>
        <v>30</v>
      </c>
      <c r="X156">
        <f>IF(event_tree[[#This Row],[ASET_scenario]]="X","extinguish",
   event_tree[[#This Row],[SOU_tdet]] + event_tree[[#This Row],[SOU_tpre]] + event_tree[[#This Row],[tnot]])</f>
        <v>669</v>
      </c>
      <c r="Y156">
        <f>IF(event_tree[[#This Row],[ASET_scenario]]="X","extinguish",
   event_tree[[#This Row],[SOU_inside_RSET]] + event_tree[[#This Row],[SOU_ttrav]])</f>
        <v>685</v>
      </c>
      <c r="Z156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56">
        <f>IF(event_tree[[#This Row],[ASET_scenario]]="X","extinguish", event_tree[[#This Row],[apt_ASET]]/event_tree[[#This Row],[SOU_inside_RSET]])</f>
        <v>0.14349775784753363</v>
      </c>
      <c r="AB156">
        <f>IF(event_tree[[#This Row],[ASET_scenario]]="X","extinguish",event_tree[[#This Row],[cor_ASET]]/event_tree[[#This Row],[SOU_outside_RSET]])</f>
        <v>3.2116788321167884E-2</v>
      </c>
      <c r="AC156">
        <f>IF(event_tree[[#This Row],[ASET_scenario]]="X","extinguish",event_tree[[#This Row],[cor_ASET]]/event_tree[[#This Row],[remote_RSET]])</f>
        <v>0.15172413793103448</v>
      </c>
      <c r="AD156">
        <f>IF(OR(event_tree[[#This Row],[SOU_inside_ratio]]&lt;1,event_tree[[#This Row],[SOU_outside_ratio]]&lt;1),2)</f>
        <v>2</v>
      </c>
      <c r="AE156">
        <f>IF(event_tree[[#This Row],[remote_ratio]]&lt;1,2*(Inputs!$F$5-1))</f>
        <v>10</v>
      </c>
      <c r="AF156">
        <f>event_tree[[#This Row],[SOU_casualty]]+event_tree[[#This Row],[remote_casualty]]</f>
        <v>12</v>
      </c>
      <c r="AG156">
        <f>event_tree[[#This Row],[fire_frequency]]*event_tree[[#This Row],[probability_of_scenario]]</f>
        <v>2.2332901500000016E-7</v>
      </c>
      <c r="AH156">
        <f>event_tree[[#This Row],[total_casualty]]*event_tree[[#This Row],[fire_probability]]</f>
        <v>2.6799481800000019E-6</v>
      </c>
    </row>
    <row r="157" spans="1:34" x14ac:dyDescent="0.25">
      <c r="A157">
        <v>156</v>
      </c>
      <c r="B157" t="str" cm="1">
        <f t="array" ref="B15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7" t="str" cm="1">
        <f t="array" ref="C15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7" t="str" cm="1">
        <f t="array" ref="D15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7" t="str" cm="1">
        <f t="array" ref="E157">INDEX(sprinkler[sprinkler],
  1+MOD(QUOTIENT(ROW()-ROW($B$2),
     ROWS(manual_suppression[manual_suppression])*
     ROWS(door_open[door_open])*
     ROWS(smoke_seal[smoke_seal])
  ),
  ROWS(sprinkler[sprinkler]))
)</f>
        <v>Control</v>
      </c>
      <c r="F157" t="str" cm="1">
        <f t="array" ref="F157">INDEX(manual_suppression[manual_suppression],
  1+MOD(QUOTIENT(ROW()-ROW($B$2),
     ROWS(door_open[door_open])*
     ROWS(smoke_seal[smoke_seal])
  ),
  ROWS(manual_suppression[manual_suppression]))
)</f>
        <v>Fail</v>
      </c>
      <c r="G157" t="str" cm="1">
        <f t="array" ref="G157">INDEX(door_open[door_open],
  1+MOD(QUOTIENT(ROW()-ROW($B$2),
     ROWS(smoke_seal[smoke_seal])
  ),
  ROWS(door_open[door_open]))
)</f>
        <v>Closed</v>
      </c>
      <c r="H157" t="str" cm="1">
        <f t="array" ref="H157">INDEX(smoke_seal[smoke_seal],
  1+MOD(ROW()-ROW($B$2), ROWS(smoke_seal[smoke_seal]))
)</f>
        <v>Success</v>
      </c>
      <c r="I157" t="str">
        <f>IF(event_tree[[#This Row],[door_open]]="Open","Open",IF(event_tree[[#This Row],[smoke_seal]]="Success","Close","Part"))</f>
        <v>Close</v>
      </c>
      <c r="J157">
        <f>IF(B157="apartment",Inputs!$I$7,Inputs!$I$6)</f>
        <v>1.2999999999999999E-3</v>
      </c>
      <c r="K157">
        <f>PRODUCT(
  INDEX(fire_location[Probability],MATCH($B157,fire_location[fire_location],0)),
  INDEX(smoke_detection_apt[Probability],MATCH($C157,smoke_detection_apt[smoke_detection_apt],0)),
  INDEX(smoke_detection_corridor[Probability],MATCH($D157,smoke_detection_corridor[smoke_detection_corridor],0)),
  INDEX(sprinkler[Probability],MATCH($E157,sprinkler[sprinkler],0)),
  INDEX(manual_suppression[Probability],MATCH($F157,manual_suppression[manual_suppression],0)),
  INDEX(door_open[Probability],MATCH($G157,door_open[door_open],0)),
  INDEX(smoke_seal[Probability],MATCH($H157,smoke_seal[smoke_seal],0))
)</f>
        <v>3.1904145000000026E-4</v>
      </c>
      <c r="L15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K</v>
      </c>
      <c r="M157" t="str">
        <f>event_tree[[#This Row],[ASET_scenario]]&amp;Inputs!$F$8</f>
        <v>K6</v>
      </c>
      <c r="N157">
        <f>IF(OR(event_tree[[#This Row],[sprinkler]]="Extinguish",event_tree[[#This Row],[manual_suppression]]="Suppress"),"extinguish",_xlfn.XLOOKUP(event_tree[[#This Row],[ASET_helper1]],ASET_data[ASET_helper1],ASET_data[apt_ASET]))</f>
        <v>3600</v>
      </c>
      <c r="O157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57" t="str">
        <f>event_tree[[#This Row],[fire_location]]&amp;Inputs!$F$8</f>
        <v>Corridor6</v>
      </c>
      <c r="Q15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39</v>
      </c>
      <c r="R157">
        <f>IF(event_tree[[#This Row],[fire_location]]="Apartment",Inputs!$F$11,Inputs!$F$12)</f>
        <v>600</v>
      </c>
      <c r="S157">
        <f>10+Inputs!$F$8</f>
        <v>16</v>
      </c>
      <c r="T15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39</v>
      </c>
      <c r="U157">
        <f>IF(event_tree[[#This Row],[fire_location]]="Apartment",Inputs!$F$12,Inputs!$F$11)</f>
        <v>60</v>
      </c>
      <c r="V157">
        <f>10+Inputs!$F$8</f>
        <v>16</v>
      </c>
      <c r="W157">
        <f>30</f>
        <v>30</v>
      </c>
      <c r="X157">
        <f>IF(event_tree[[#This Row],[ASET_scenario]]="X","extinguish",
   event_tree[[#This Row],[SOU_tdet]] + event_tree[[#This Row],[SOU_tpre]] + event_tree[[#This Row],[tnot]])</f>
        <v>669</v>
      </c>
      <c r="Y157">
        <f>IF(event_tree[[#This Row],[ASET_scenario]]="X","extinguish",
   event_tree[[#This Row],[SOU_inside_RSET]] + event_tree[[#This Row],[SOU_ttrav]])</f>
        <v>685</v>
      </c>
      <c r="Z157">
        <f>IF(event_tree[[#This Row],[ASET_scenario]]="X","extinguish",
   event_tree[[#This Row],[remote_tdet]] + event_tree[[#This Row],[remote_tpre]] + event_tree[[#This Row],[remote_ttrav]] + event_tree[[#This Row],[tnot]])</f>
        <v>145</v>
      </c>
      <c r="AA157">
        <f>IF(event_tree[[#This Row],[ASET_scenario]]="X","extinguish", event_tree[[#This Row],[apt_ASET]]/event_tree[[#This Row],[SOU_inside_RSET]])</f>
        <v>5.3811659192825116</v>
      </c>
      <c r="AB157">
        <f>IF(event_tree[[#This Row],[ASET_scenario]]="X","extinguish",event_tree[[#This Row],[cor_ASET]]/event_tree[[#This Row],[SOU_outside_RSET]])</f>
        <v>3.2116788321167884E-2</v>
      </c>
      <c r="AC157">
        <f>IF(event_tree[[#This Row],[ASET_scenario]]="X","extinguish",event_tree[[#This Row],[cor_ASET]]/event_tree[[#This Row],[remote_RSET]])</f>
        <v>0.15172413793103448</v>
      </c>
      <c r="AD157">
        <f>IF(OR(event_tree[[#This Row],[SOU_inside_ratio]]&lt;1,event_tree[[#This Row],[SOU_outside_ratio]]&lt;1),2)</f>
        <v>2</v>
      </c>
      <c r="AE157">
        <f>IF(event_tree[[#This Row],[remote_ratio]]&lt;1,2*(Inputs!$F$5-1))</f>
        <v>10</v>
      </c>
      <c r="AF157">
        <f>event_tree[[#This Row],[SOU_casualty]]+event_tree[[#This Row],[remote_casualty]]</f>
        <v>12</v>
      </c>
      <c r="AG157">
        <f>event_tree[[#This Row],[fire_frequency]]*event_tree[[#This Row],[probability_of_scenario]]</f>
        <v>4.1475388500000031E-7</v>
      </c>
      <c r="AH157">
        <f>event_tree[[#This Row],[total_casualty]]*event_tree[[#This Row],[fire_probability]]</f>
        <v>4.9770466200000035E-6</v>
      </c>
    </row>
    <row r="158" spans="1:34" x14ac:dyDescent="0.25">
      <c r="A158">
        <v>157</v>
      </c>
      <c r="B158" t="str" cm="1">
        <f t="array" ref="B15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8" t="str" cm="1">
        <f t="array" ref="C15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8" t="str" cm="1">
        <f t="array" ref="D15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8" t="str" cm="1">
        <f t="array" ref="E158">INDEX(sprinkler[sprinkler],
  1+MOD(QUOTIENT(ROW()-ROW($B$2),
     ROWS(manual_suppression[manual_suppression])*
     ROWS(door_open[door_open])*
     ROWS(smoke_seal[smoke_seal])
  ),
  ROWS(sprinkler[sprinkler]))
)</f>
        <v>Control</v>
      </c>
      <c r="F158" t="str" cm="1">
        <f t="array" ref="F158">INDEX(manual_suppression[manual_suppression],
  1+MOD(QUOTIENT(ROW()-ROW($B$2),
     ROWS(door_open[door_open])*
     ROWS(smoke_seal[smoke_seal])
  ),
  ROWS(manual_suppression[manual_suppression]))
)</f>
        <v>Suppress</v>
      </c>
      <c r="G158" t="str" cm="1">
        <f t="array" ref="G158">INDEX(door_open[door_open],
  1+MOD(QUOTIENT(ROW()-ROW($B$2),
     ROWS(smoke_seal[smoke_seal])
  ),
  ROWS(door_open[door_open]))
)</f>
        <v>Open</v>
      </c>
      <c r="H158" t="str" cm="1">
        <f t="array" ref="H158">INDEX(smoke_seal[smoke_seal],
  1+MOD(ROW()-ROW($B$2), ROWS(smoke_seal[smoke_seal]))
)</f>
        <v>Fail</v>
      </c>
      <c r="I158" t="str">
        <f>IF(event_tree[[#This Row],[door_open]]="Open","Open",IF(event_tree[[#This Row],[smoke_seal]]="Success","Close","Part"))</f>
        <v>Open</v>
      </c>
      <c r="J158">
        <f>IF(B158="apartment",Inputs!$I$7,Inputs!$I$6)</f>
        <v>1.2999999999999999E-3</v>
      </c>
      <c r="K158">
        <f>PRODUCT(
  INDEX(fire_location[Probability],MATCH($B158,fire_location[fire_location],0)),
  INDEX(smoke_detection_apt[Probability],MATCH($C158,smoke_detection_apt[smoke_detection_apt],0)),
  INDEX(smoke_detection_corridor[Probability],MATCH($D158,smoke_detection_corridor[smoke_detection_corridor],0)),
  INDEX(sprinkler[Probability],MATCH($E158,sprinkler[sprinkler],0)),
  INDEX(manual_suppression[Probability],MATCH($F158,manual_suppression[manual_suppression],0)),
  INDEX(door_open[Probability],MATCH($G158,door_open[door_open],0)),
  INDEX(smoke_seal[Probability],MATCH($H158,smoke_seal[smoke_seal],0))
)</f>
        <v>1.3673205000000013E-4</v>
      </c>
      <c r="L15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58" t="str">
        <f>event_tree[[#This Row],[ASET_scenario]]&amp;Inputs!$F$8</f>
        <v>X6</v>
      </c>
      <c r="N15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5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58" t="str">
        <f>event_tree[[#This Row],[fire_location]]&amp;Inputs!$F$8</f>
        <v>Corridor6</v>
      </c>
      <c r="Q15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58">
        <f>IF(event_tree[[#This Row],[fire_location]]="Apartment",Inputs!$F$11,Inputs!$F$12)</f>
        <v>600</v>
      </c>
      <c r="S158">
        <f>10+Inputs!$F$8</f>
        <v>16</v>
      </c>
      <c r="T15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58">
        <f>IF(event_tree[[#This Row],[fire_location]]="Apartment",Inputs!$F$12,Inputs!$F$11)</f>
        <v>60</v>
      </c>
      <c r="V158">
        <f>10+Inputs!$F$8</f>
        <v>16</v>
      </c>
      <c r="W158">
        <f>30</f>
        <v>30</v>
      </c>
      <c r="X158" t="str">
        <f>IF(event_tree[[#This Row],[ASET_scenario]]="X","extinguish",
   event_tree[[#This Row],[SOU_tdet]] + event_tree[[#This Row],[SOU_tpre]] + event_tree[[#This Row],[tnot]])</f>
        <v>extinguish</v>
      </c>
      <c r="Y158" t="str">
        <f>IF(event_tree[[#This Row],[ASET_scenario]]="X","extinguish",
   event_tree[[#This Row],[SOU_inside_RSET]] + event_tree[[#This Row],[SOU_ttrav]])</f>
        <v>extinguish</v>
      </c>
      <c r="Z15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58" t="str">
        <f>IF(event_tree[[#This Row],[ASET_scenario]]="X","extinguish", event_tree[[#This Row],[apt_ASET]]/event_tree[[#This Row],[SOU_inside_RSET]])</f>
        <v>extinguish</v>
      </c>
      <c r="AB158" t="str">
        <f>IF(event_tree[[#This Row],[ASET_scenario]]="X","extinguish",event_tree[[#This Row],[cor_ASET]]/event_tree[[#This Row],[SOU_outside_RSET]])</f>
        <v>extinguish</v>
      </c>
      <c r="AC158" t="str">
        <f>IF(event_tree[[#This Row],[ASET_scenario]]="X","extinguish",event_tree[[#This Row],[cor_ASET]]/event_tree[[#This Row],[remote_RSET]])</f>
        <v>extinguish</v>
      </c>
      <c r="AD158" t="b">
        <f>IF(OR(event_tree[[#This Row],[SOU_inside_ratio]]&lt;1,event_tree[[#This Row],[SOU_outside_ratio]]&lt;1),2)</f>
        <v>0</v>
      </c>
      <c r="AE158" t="b">
        <f>IF(event_tree[[#This Row],[remote_ratio]]&lt;1,2*(Inputs!$F$5-1))</f>
        <v>0</v>
      </c>
      <c r="AF158">
        <f>event_tree[[#This Row],[SOU_casualty]]+event_tree[[#This Row],[remote_casualty]]</f>
        <v>0</v>
      </c>
      <c r="AG158">
        <f>event_tree[[#This Row],[fire_frequency]]*event_tree[[#This Row],[probability_of_scenario]]</f>
        <v>1.7775166500000015E-7</v>
      </c>
      <c r="AH158">
        <f>event_tree[[#This Row],[total_casualty]]*event_tree[[#This Row],[fire_probability]]</f>
        <v>0</v>
      </c>
    </row>
    <row r="159" spans="1:34" x14ac:dyDescent="0.25">
      <c r="A159">
        <v>158</v>
      </c>
      <c r="B159" t="str" cm="1">
        <f t="array" ref="B15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59" t="str" cm="1">
        <f t="array" ref="C15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59" t="str" cm="1">
        <f t="array" ref="D15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59" t="str" cm="1">
        <f t="array" ref="E159">INDEX(sprinkler[sprinkler],
  1+MOD(QUOTIENT(ROW()-ROW($B$2),
     ROWS(manual_suppression[manual_suppression])*
     ROWS(door_open[door_open])*
     ROWS(smoke_seal[smoke_seal])
  ),
  ROWS(sprinkler[sprinkler]))
)</f>
        <v>Control</v>
      </c>
      <c r="F159" t="str" cm="1">
        <f t="array" ref="F159">INDEX(manual_suppression[manual_suppression],
  1+MOD(QUOTIENT(ROW()-ROW($B$2),
     ROWS(door_open[door_open])*
     ROWS(smoke_seal[smoke_seal])
  ),
  ROWS(manual_suppression[manual_suppression]))
)</f>
        <v>Suppress</v>
      </c>
      <c r="G159" t="str" cm="1">
        <f t="array" ref="G159">INDEX(door_open[door_open],
  1+MOD(QUOTIENT(ROW()-ROW($B$2),
     ROWS(smoke_seal[smoke_seal])
  ),
  ROWS(door_open[door_open]))
)</f>
        <v>Open</v>
      </c>
      <c r="H159" t="str" cm="1">
        <f t="array" ref="H159">INDEX(smoke_seal[smoke_seal],
  1+MOD(ROW()-ROW($B$2), ROWS(smoke_seal[smoke_seal]))
)</f>
        <v>Success</v>
      </c>
      <c r="I159" t="str">
        <f>IF(event_tree[[#This Row],[door_open]]="Open","Open",IF(event_tree[[#This Row],[smoke_seal]]="Success","Close","Part"))</f>
        <v>Open</v>
      </c>
      <c r="J159">
        <f>IF(B159="apartment",Inputs!$I$7,Inputs!$I$6)</f>
        <v>1.2999999999999999E-3</v>
      </c>
      <c r="K159">
        <f>PRODUCT(
  INDEX(fire_location[Probability],MATCH($B159,fire_location[fire_location],0)),
  INDEX(smoke_detection_apt[Probability],MATCH($C159,smoke_detection_apt[smoke_detection_apt],0)),
  INDEX(smoke_detection_corridor[Probability],MATCH($D159,smoke_detection_corridor[smoke_detection_corridor],0)),
  INDEX(sprinkler[Probability],MATCH($E159,sprinkler[sprinkler],0)),
  INDEX(manual_suppression[Probability],MATCH($F159,manual_suppression[manual_suppression],0)),
  INDEX(door_open[Probability],MATCH($G159,door_open[door_open],0)),
  INDEX(smoke_seal[Probability],MATCH($H159,smoke_seal[smoke_seal],0))
)</f>
        <v>2.5393095000000025E-4</v>
      </c>
      <c r="L15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59" t="str">
        <f>event_tree[[#This Row],[ASET_scenario]]&amp;Inputs!$F$8</f>
        <v>X6</v>
      </c>
      <c r="N15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5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59" t="str">
        <f>event_tree[[#This Row],[fire_location]]&amp;Inputs!$F$8</f>
        <v>Corridor6</v>
      </c>
      <c r="Q15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59">
        <f>IF(event_tree[[#This Row],[fire_location]]="Apartment",Inputs!$F$11,Inputs!$F$12)</f>
        <v>600</v>
      </c>
      <c r="S159">
        <f>10+Inputs!$F$8</f>
        <v>16</v>
      </c>
      <c r="T15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59">
        <f>IF(event_tree[[#This Row],[fire_location]]="Apartment",Inputs!$F$12,Inputs!$F$11)</f>
        <v>60</v>
      </c>
      <c r="V159">
        <f>10+Inputs!$F$8</f>
        <v>16</v>
      </c>
      <c r="W159">
        <f>30</f>
        <v>30</v>
      </c>
      <c r="X159" t="str">
        <f>IF(event_tree[[#This Row],[ASET_scenario]]="X","extinguish",
   event_tree[[#This Row],[SOU_tdet]] + event_tree[[#This Row],[SOU_tpre]] + event_tree[[#This Row],[tnot]])</f>
        <v>extinguish</v>
      </c>
      <c r="Y159" t="str">
        <f>IF(event_tree[[#This Row],[ASET_scenario]]="X","extinguish",
   event_tree[[#This Row],[SOU_inside_RSET]] + event_tree[[#This Row],[SOU_ttrav]])</f>
        <v>extinguish</v>
      </c>
      <c r="Z15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59" t="str">
        <f>IF(event_tree[[#This Row],[ASET_scenario]]="X","extinguish", event_tree[[#This Row],[apt_ASET]]/event_tree[[#This Row],[SOU_inside_RSET]])</f>
        <v>extinguish</v>
      </c>
      <c r="AB159" t="str">
        <f>IF(event_tree[[#This Row],[ASET_scenario]]="X","extinguish",event_tree[[#This Row],[cor_ASET]]/event_tree[[#This Row],[SOU_outside_RSET]])</f>
        <v>extinguish</v>
      </c>
      <c r="AC159" t="str">
        <f>IF(event_tree[[#This Row],[ASET_scenario]]="X","extinguish",event_tree[[#This Row],[cor_ASET]]/event_tree[[#This Row],[remote_RSET]])</f>
        <v>extinguish</v>
      </c>
      <c r="AD159" t="b">
        <f>IF(OR(event_tree[[#This Row],[SOU_inside_ratio]]&lt;1,event_tree[[#This Row],[SOU_outside_ratio]]&lt;1),2)</f>
        <v>0</v>
      </c>
      <c r="AE159" t="b">
        <f>IF(event_tree[[#This Row],[remote_ratio]]&lt;1,2*(Inputs!$F$5-1))</f>
        <v>0</v>
      </c>
      <c r="AF159">
        <f>event_tree[[#This Row],[SOU_casualty]]+event_tree[[#This Row],[remote_casualty]]</f>
        <v>0</v>
      </c>
      <c r="AG159">
        <f>event_tree[[#This Row],[fire_frequency]]*event_tree[[#This Row],[probability_of_scenario]]</f>
        <v>3.3011023500000031E-7</v>
      </c>
      <c r="AH159">
        <f>event_tree[[#This Row],[total_casualty]]*event_tree[[#This Row],[fire_probability]]</f>
        <v>0</v>
      </c>
    </row>
    <row r="160" spans="1:34" x14ac:dyDescent="0.25">
      <c r="A160">
        <v>159</v>
      </c>
      <c r="B160" t="str" cm="1">
        <f t="array" ref="B16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0" t="str" cm="1">
        <f t="array" ref="C16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0" t="str" cm="1">
        <f t="array" ref="D16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0" t="str" cm="1">
        <f t="array" ref="E160">INDEX(sprinkler[sprinkler],
  1+MOD(QUOTIENT(ROW()-ROW($B$2),
     ROWS(manual_suppression[manual_suppression])*
     ROWS(door_open[door_open])*
     ROWS(smoke_seal[smoke_seal])
  ),
  ROWS(sprinkler[sprinkler]))
)</f>
        <v>Control</v>
      </c>
      <c r="F160" t="str" cm="1">
        <f t="array" ref="F160">INDEX(manual_suppression[manual_suppression],
  1+MOD(QUOTIENT(ROW()-ROW($B$2),
     ROWS(door_open[door_open])*
     ROWS(smoke_seal[smoke_seal])
  ),
  ROWS(manual_suppression[manual_suppression]))
)</f>
        <v>Suppress</v>
      </c>
      <c r="G160" t="str" cm="1">
        <f t="array" ref="G160">INDEX(door_open[door_open],
  1+MOD(QUOTIENT(ROW()-ROW($B$2),
     ROWS(smoke_seal[smoke_seal])
  ),
  ROWS(door_open[door_open]))
)</f>
        <v>Closed</v>
      </c>
      <c r="H160" t="str" cm="1">
        <f t="array" ref="H160">INDEX(smoke_seal[smoke_seal],
  1+MOD(ROW()-ROW($B$2), ROWS(smoke_seal[smoke_seal]))
)</f>
        <v>Fail</v>
      </c>
      <c r="I160" t="str">
        <f>IF(event_tree[[#This Row],[door_open]]="Open","Open",IF(event_tree[[#This Row],[smoke_seal]]="Success","Close","Part"))</f>
        <v>Part</v>
      </c>
      <c r="J160">
        <f>IF(B160="apartment",Inputs!$I$7,Inputs!$I$6)</f>
        <v>1.2999999999999999E-3</v>
      </c>
      <c r="K160">
        <f>PRODUCT(
  INDEX(fire_location[Probability],MATCH($B160,fire_location[fire_location],0)),
  INDEX(smoke_detection_apt[Probability],MATCH($C160,smoke_detection_apt[smoke_detection_apt],0)),
  INDEX(smoke_detection_corridor[Probability],MATCH($D160,smoke_detection_corridor[smoke_detection_corridor],0)),
  INDEX(sprinkler[Probability],MATCH($E160,sprinkler[sprinkler],0)),
  INDEX(manual_suppression[Probability],MATCH($F160,manual_suppression[manual_suppression],0)),
  INDEX(door_open[Probability],MATCH($G160,door_open[door_open],0)),
  INDEX(smoke_seal[Probability],MATCH($H160,smoke_seal[smoke_seal],0))
)</f>
        <v>3.1904145000000026E-4</v>
      </c>
      <c r="L16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0" t="str">
        <f>event_tree[[#This Row],[ASET_scenario]]&amp;Inputs!$F$8</f>
        <v>X6</v>
      </c>
      <c r="N16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0" t="str">
        <f>event_tree[[#This Row],[fire_location]]&amp;Inputs!$F$8</f>
        <v>Corridor6</v>
      </c>
      <c r="Q16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0">
        <f>IF(event_tree[[#This Row],[fire_location]]="Apartment",Inputs!$F$11,Inputs!$F$12)</f>
        <v>600</v>
      </c>
      <c r="S160">
        <f>10+Inputs!$F$8</f>
        <v>16</v>
      </c>
      <c r="T16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0">
        <f>IF(event_tree[[#This Row],[fire_location]]="Apartment",Inputs!$F$12,Inputs!$F$11)</f>
        <v>60</v>
      </c>
      <c r="V160">
        <f>10+Inputs!$F$8</f>
        <v>16</v>
      </c>
      <c r="W160">
        <f>30</f>
        <v>30</v>
      </c>
      <c r="X160" t="str">
        <f>IF(event_tree[[#This Row],[ASET_scenario]]="X","extinguish",
   event_tree[[#This Row],[SOU_tdet]] + event_tree[[#This Row],[SOU_tpre]] + event_tree[[#This Row],[tnot]])</f>
        <v>extinguish</v>
      </c>
      <c r="Y160" t="str">
        <f>IF(event_tree[[#This Row],[ASET_scenario]]="X","extinguish",
   event_tree[[#This Row],[SOU_inside_RSET]] + event_tree[[#This Row],[SOU_ttrav]])</f>
        <v>extinguish</v>
      </c>
      <c r="Z16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0" t="str">
        <f>IF(event_tree[[#This Row],[ASET_scenario]]="X","extinguish", event_tree[[#This Row],[apt_ASET]]/event_tree[[#This Row],[SOU_inside_RSET]])</f>
        <v>extinguish</v>
      </c>
      <c r="AB160" t="str">
        <f>IF(event_tree[[#This Row],[ASET_scenario]]="X","extinguish",event_tree[[#This Row],[cor_ASET]]/event_tree[[#This Row],[SOU_outside_RSET]])</f>
        <v>extinguish</v>
      </c>
      <c r="AC160" t="str">
        <f>IF(event_tree[[#This Row],[ASET_scenario]]="X","extinguish",event_tree[[#This Row],[cor_ASET]]/event_tree[[#This Row],[remote_RSET]])</f>
        <v>extinguish</v>
      </c>
      <c r="AD160" t="b">
        <f>IF(OR(event_tree[[#This Row],[SOU_inside_ratio]]&lt;1,event_tree[[#This Row],[SOU_outside_ratio]]&lt;1),2)</f>
        <v>0</v>
      </c>
      <c r="AE160" t="b">
        <f>IF(event_tree[[#This Row],[remote_ratio]]&lt;1,2*(Inputs!$F$5-1))</f>
        <v>0</v>
      </c>
      <c r="AF160">
        <f>event_tree[[#This Row],[SOU_casualty]]+event_tree[[#This Row],[remote_casualty]]</f>
        <v>0</v>
      </c>
      <c r="AG160">
        <f>event_tree[[#This Row],[fire_frequency]]*event_tree[[#This Row],[probability_of_scenario]]</f>
        <v>4.1475388500000031E-7</v>
      </c>
      <c r="AH160">
        <f>event_tree[[#This Row],[total_casualty]]*event_tree[[#This Row],[fire_probability]]</f>
        <v>0</v>
      </c>
    </row>
    <row r="161" spans="1:34" x14ac:dyDescent="0.25">
      <c r="A161">
        <v>160</v>
      </c>
      <c r="B161" t="str" cm="1">
        <f t="array" ref="B16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1" t="str" cm="1">
        <f t="array" ref="C16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1" t="str" cm="1">
        <f t="array" ref="D16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1" t="str" cm="1">
        <f t="array" ref="E161">INDEX(sprinkler[sprinkler],
  1+MOD(QUOTIENT(ROW()-ROW($B$2),
     ROWS(manual_suppression[manual_suppression])*
     ROWS(door_open[door_open])*
     ROWS(smoke_seal[smoke_seal])
  ),
  ROWS(sprinkler[sprinkler]))
)</f>
        <v>Control</v>
      </c>
      <c r="F161" t="str" cm="1">
        <f t="array" ref="F161">INDEX(manual_suppression[manual_suppression],
  1+MOD(QUOTIENT(ROW()-ROW($B$2),
     ROWS(door_open[door_open])*
     ROWS(smoke_seal[smoke_seal])
  ),
  ROWS(manual_suppression[manual_suppression]))
)</f>
        <v>Suppress</v>
      </c>
      <c r="G161" t="str" cm="1">
        <f t="array" ref="G161">INDEX(door_open[door_open],
  1+MOD(QUOTIENT(ROW()-ROW($B$2),
     ROWS(smoke_seal[smoke_seal])
  ),
  ROWS(door_open[door_open]))
)</f>
        <v>Closed</v>
      </c>
      <c r="H161" t="str" cm="1">
        <f t="array" ref="H161">INDEX(smoke_seal[smoke_seal],
  1+MOD(ROW()-ROW($B$2), ROWS(smoke_seal[smoke_seal]))
)</f>
        <v>Success</v>
      </c>
      <c r="I161" t="str">
        <f>IF(event_tree[[#This Row],[door_open]]="Open","Open",IF(event_tree[[#This Row],[smoke_seal]]="Success","Close","Part"))</f>
        <v>Close</v>
      </c>
      <c r="J161">
        <f>IF(B161="apartment",Inputs!$I$7,Inputs!$I$6)</f>
        <v>1.2999999999999999E-3</v>
      </c>
      <c r="K161">
        <f>PRODUCT(
  INDEX(fire_location[Probability],MATCH($B161,fire_location[fire_location],0)),
  INDEX(smoke_detection_apt[Probability],MATCH($C161,smoke_detection_apt[smoke_detection_apt],0)),
  INDEX(smoke_detection_corridor[Probability],MATCH($D161,smoke_detection_corridor[smoke_detection_corridor],0)),
  INDEX(sprinkler[Probability],MATCH($E161,sprinkler[sprinkler],0)),
  INDEX(manual_suppression[Probability],MATCH($F161,manual_suppression[manual_suppression],0)),
  INDEX(door_open[Probability],MATCH($G161,door_open[door_open],0)),
  INDEX(smoke_seal[Probability],MATCH($H161,smoke_seal[smoke_seal],0))
)</f>
        <v>5.9250555000000052E-4</v>
      </c>
      <c r="L16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1" t="str">
        <f>event_tree[[#This Row],[ASET_scenario]]&amp;Inputs!$F$8</f>
        <v>X6</v>
      </c>
      <c r="N16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1" t="str">
        <f>event_tree[[#This Row],[fire_location]]&amp;Inputs!$F$8</f>
        <v>Corridor6</v>
      </c>
      <c r="Q16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1">
        <f>IF(event_tree[[#This Row],[fire_location]]="Apartment",Inputs!$F$11,Inputs!$F$12)</f>
        <v>600</v>
      </c>
      <c r="S161">
        <f>10+Inputs!$F$8</f>
        <v>16</v>
      </c>
      <c r="T16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1">
        <f>IF(event_tree[[#This Row],[fire_location]]="Apartment",Inputs!$F$12,Inputs!$F$11)</f>
        <v>60</v>
      </c>
      <c r="V161">
        <f>10+Inputs!$F$8</f>
        <v>16</v>
      </c>
      <c r="W161">
        <f>30</f>
        <v>30</v>
      </c>
      <c r="X161" t="str">
        <f>IF(event_tree[[#This Row],[ASET_scenario]]="X","extinguish",
   event_tree[[#This Row],[SOU_tdet]] + event_tree[[#This Row],[SOU_tpre]] + event_tree[[#This Row],[tnot]])</f>
        <v>extinguish</v>
      </c>
      <c r="Y161" t="str">
        <f>IF(event_tree[[#This Row],[ASET_scenario]]="X","extinguish",
   event_tree[[#This Row],[SOU_inside_RSET]] + event_tree[[#This Row],[SOU_ttrav]])</f>
        <v>extinguish</v>
      </c>
      <c r="Z16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1" t="str">
        <f>IF(event_tree[[#This Row],[ASET_scenario]]="X","extinguish", event_tree[[#This Row],[apt_ASET]]/event_tree[[#This Row],[SOU_inside_RSET]])</f>
        <v>extinguish</v>
      </c>
      <c r="AB161" t="str">
        <f>IF(event_tree[[#This Row],[ASET_scenario]]="X","extinguish",event_tree[[#This Row],[cor_ASET]]/event_tree[[#This Row],[SOU_outside_RSET]])</f>
        <v>extinguish</v>
      </c>
      <c r="AC161" t="str">
        <f>IF(event_tree[[#This Row],[ASET_scenario]]="X","extinguish",event_tree[[#This Row],[cor_ASET]]/event_tree[[#This Row],[remote_RSET]])</f>
        <v>extinguish</v>
      </c>
      <c r="AD161" t="b">
        <f>IF(OR(event_tree[[#This Row],[SOU_inside_ratio]]&lt;1,event_tree[[#This Row],[SOU_outside_ratio]]&lt;1),2)</f>
        <v>0</v>
      </c>
      <c r="AE161" t="b">
        <f>IF(event_tree[[#This Row],[remote_ratio]]&lt;1,2*(Inputs!$F$5-1))</f>
        <v>0</v>
      </c>
      <c r="AF161">
        <f>event_tree[[#This Row],[SOU_casualty]]+event_tree[[#This Row],[remote_casualty]]</f>
        <v>0</v>
      </c>
      <c r="AG161">
        <f>event_tree[[#This Row],[fire_frequency]]*event_tree[[#This Row],[probability_of_scenario]]</f>
        <v>7.7025721500000061E-7</v>
      </c>
      <c r="AH161">
        <f>event_tree[[#This Row],[total_casualty]]*event_tree[[#This Row],[fire_probability]]</f>
        <v>0</v>
      </c>
    </row>
    <row r="162" spans="1:34" x14ac:dyDescent="0.25">
      <c r="A162">
        <v>161</v>
      </c>
      <c r="B162" t="str" cm="1">
        <f t="array" ref="B16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2" t="str" cm="1">
        <f t="array" ref="C16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2" t="str" cm="1">
        <f t="array" ref="D16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2" t="str" cm="1">
        <f t="array" ref="E162">INDEX(sprinkler[sprinkler],
  1+MOD(QUOTIENT(ROW()-ROW($B$2),
     ROWS(manual_suppression[manual_suppression])*
     ROWS(door_open[door_open])*
     ROWS(smoke_seal[smoke_seal])
  ),
  ROWS(sprinkler[sprinkler]))
)</f>
        <v>Extinguish</v>
      </c>
      <c r="F162" t="str" cm="1">
        <f t="array" ref="F162">INDEX(manual_suppression[manual_suppression],
  1+MOD(QUOTIENT(ROW()-ROW($B$2),
     ROWS(door_open[door_open])*
     ROWS(smoke_seal[smoke_seal])
  ),
  ROWS(manual_suppression[manual_suppression]))
)</f>
        <v>Fail</v>
      </c>
      <c r="G162" t="str" cm="1">
        <f t="array" ref="G162">INDEX(door_open[door_open],
  1+MOD(QUOTIENT(ROW()-ROW($B$2),
     ROWS(smoke_seal[smoke_seal])
  ),
  ROWS(door_open[door_open]))
)</f>
        <v>Open</v>
      </c>
      <c r="H162" t="str" cm="1">
        <f t="array" ref="H162">INDEX(smoke_seal[smoke_seal],
  1+MOD(ROW()-ROW($B$2), ROWS(smoke_seal[smoke_seal]))
)</f>
        <v>Fail</v>
      </c>
      <c r="I162" t="str">
        <f>IF(event_tree[[#This Row],[door_open]]="Open","Open",IF(event_tree[[#This Row],[smoke_seal]]="Success","Close","Part"))</f>
        <v>Open</v>
      </c>
      <c r="J162">
        <f>IF(B162="apartment",Inputs!$I$7,Inputs!$I$6)</f>
        <v>1.2999999999999999E-3</v>
      </c>
      <c r="K162">
        <f>PRODUCT(
  INDEX(fire_location[Probability],MATCH($B162,fire_location[fire_location],0)),
  INDEX(smoke_detection_apt[Probability],MATCH($C162,smoke_detection_apt[smoke_detection_apt],0)),
  INDEX(smoke_detection_corridor[Probability],MATCH($D162,smoke_detection_corridor[smoke_detection_corridor],0)),
  INDEX(sprinkler[Probability],MATCH($E162,sprinkler[sprinkler],0)),
  INDEX(manual_suppression[Probability],MATCH($F162,manual_suppression[manual_suppression],0)),
  INDEX(door_open[Probability],MATCH($G162,door_open[door_open],0)),
  INDEX(smoke_seal[Probability],MATCH($H162,smoke_seal[smoke_seal],0))
)</f>
        <v>8.4142800000000078E-5</v>
      </c>
      <c r="L16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2" t="str">
        <f>event_tree[[#This Row],[ASET_scenario]]&amp;Inputs!$F$8</f>
        <v>X6</v>
      </c>
      <c r="N16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2" t="str">
        <f>event_tree[[#This Row],[fire_location]]&amp;Inputs!$F$8</f>
        <v>Corridor6</v>
      </c>
      <c r="Q16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2">
        <f>IF(event_tree[[#This Row],[fire_location]]="Apartment",Inputs!$F$11,Inputs!$F$12)</f>
        <v>600</v>
      </c>
      <c r="S162">
        <f>10+Inputs!$F$8</f>
        <v>16</v>
      </c>
      <c r="T16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2">
        <f>IF(event_tree[[#This Row],[fire_location]]="Apartment",Inputs!$F$12,Inputs!$F$11)</f>
        <v>60</v>
      </c>
      <c r="V162">
        <f>10+Inputs!$F$8</f>
        <v>16</v>
      </c>
      <c r="W162">
        <f>30</f>
        <v>30</v>
      </c>
      <c r="X162" t="str">
        <f>IF(event_tree[[#This Row],[ASET_scenario]]="X","extinguish",
   event_tree[[#This Row],[SOU_tdet]] + event_tree[[#This Row],[SOU_tpre]] + event_tree[[#This Row],[tnot]])</f>
        <v>extinguish</v>
      </c>
      <c r="Y162" t="str">
        <f>IF(event_tree[[#This Row],[ASET_scenario]]="X","extinguish",
   event_tree[[#This Row],[SOU_inside_RSET]] + event_tree[[#This Row],[SOU_ttrav]])</f>
        <v>extinguish</v>
      </c>
      <c r="Z16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2" t="str">
        <f>IF(event_tree[[#This Row],[ASET_scenario]]="X","extinguish", event_tree[[#This Row],[apt_ASET]]/event_tree[[#This Row],[SOU_inside_RSET]])</f>
        <v>extinguish</v>
      </c>
      <c r="AB162" t="str">
        <f>IF(event_tree[[#This Row],[ASET_scenario]]="X","extinguish",event_tree[[#This Row],[cor_ASET]]/event_tree[[#This Row],[SOU_outside_RSET]])</f>
        <v>extinguish</v>
      </c>
      <c r="AC162" t="str">
        <f>IF(event_tree[[#This Row],[ASET_scenario]]="X","extinguish",event_tree[[#This Row],[cor_ASET]]/event_tree[[#This Row],[remote_RSET]])</f>
        <v>extinguish</v>
      </c>
      <c r="AD162" t="b">
        <f>IF(OR(event_tree[[#This Row],[SOU_inside_ratio]]&lt;1,event_tree[[#This Row],[SOU_outside_ratio]]&lt;1),2)</f>
        <v>0</v>
      </c>
      <c r="AE162" t="b">
        <f>IF(event_tree[[#This Row],[remote_ratio]]&lt;1,2*(Inputs!$F$5-1))</f>
        <v>0</v>
      </c>
      <c r="AF162">
        <f>event_tree[[#This Row],[SOU_casualty]]+event_tree[[#This Row],[remote_casualty]]</f>
        <v>0</v>
      </c>
      <c r="AG162">
        <f>event_tree[[#This Row],[fire_frequency]]*event_tree[[#This Row],[probability_of_scenario]]</f>
        <v>1.0938564000000009E-7</v>
      </c>
      <c r="AH162">
        <f>event_tree[[#This Row],[total_casualty]]*event_tree[[#This Row],[fire_probability]]</f>
        <v>0</v>
      </c>
    </row>
    <row r="163" spans="1:34" x14ac:dyDescent="0.25">
      <c r="A163">
        <v>162</v>
      </c>
      <c r="B163" t="str" cm="1">
        <f t="array" ref="B16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3" t="str" cm="1">
        <f t="array" ref="C16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3" t="str" cm="1">
        <f t="array" ref="D16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3" t="str" cm="1">
        <f t="array" ref="E163">INDEX(sprinkler[sprinkler],
  1+MOD(QUOTIENT(ROW()-ROW($B$2),
     ROWS(manual_suppression[manual_suppression])*
     ROWS(door_open[door_open])*
     ROWS(smoke_seal[smoke_seal])
  ),
  ROWS(sprinkler[sprinkler]))
)</f>
        <v>Extinguish</v>
      </c>
      <c r="F163" t="str" cm="1">
        <f t="array" ref="F163">INDEX(manual_suppression[manual_suppression],
  1+MOD(QUOTIENT(ROW()-ROW($B$2),
     ROWS(door_open[door_open])*
     ROWS(smoke_seal[smoke_seal])
  ),
  ROWS(manual_suppression[manual_suppression]))
)</f>
        <v>Fail</v>
      </c>
      <c r="G163" t="str" cm="1">
        <f t="array" ref="G163">INDEX(door_open[door_open],
  1+MOD(QUOTIENT(ROW()-ROW($B$2),
     ROWS(smoke_seal[smoke_seal])
  ),
  ROWS(door_open[door_open]))
)</f>
        <v>Open</v>
      </c>
      <c r="H163" t="str" cm="1">
        <f t="array" ref="H163">INDEX(smoke_seal[smoke_seal],
  1+MOD(ROW()-ROW($B$2), ROWS(smoke_seal[smoke_seal]))
)</f>
        <v>Success</v>
      </c>
      <c r="I163" t="str">
        <f>IF(event_tree[[#This Row],[door_open]]="Open","Open",IF(event_tree[[#This Row],[smoke_seal]]="Success","Close","Part"))</f>
        <v>Open</v>
      </c>
      <c r="J163">
        <f>IF(B163="apartment",Inputs!$I$7,Inputs!$I$6)</f>
        <v>1.2999999999999999E-3</v>
      </c>
      <c r="K163">
        <f>PRODUCT(
  INDEX(fire_location[Probability],MATCH($B163,fire_location[fire_location],0)),
  INDEX(smoke_detection_apt[Probability],MATCH($C163,smoke_detection_apt[smoke_detection_apt],0)),
  INDEX(smoke_detection_corridor[Probability],MATCH($D163,smoke_detection_corridor[smoke_detection_corridor],0)),
  INDEX(sprinkler[Probability],MATCH($E163,sprinkler[sprinkler],0)),
  INDEX(manual_suppression[Probability],MATCH($F163,manual_suppression[manual_suppression],0)),
  INDEX(door_open[Probability],MATCH($G163,door_open[door_open],0)),
  INDEX(smoke_seal[Probability],MATCH($H163,smoke_seal[smoke_seal],0))
)</f>
        <v>1.5626520000000015E-4</v>
      </c>
      <c r="L16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3" t="str">
        <f>event_tree[[#This Row],[ASET_scenario]]&amp;Inputs!$F$8</f>
        <v>X6</v>
      </c>
      <c r="N16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3" t="str">
        <f>event_tree[[#This Row],[fire_location]]&amp;Inputs!$F$8</f>
        <v>Corridor6</v>
      </c>
      <c r="Q16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3">
        <f>IF(event_tree[[#This Row],[fire_location]]="Apartment",Inputs!$F$11,Inputs!$F$12)</f>
        <v>600</v>
      </c>
      <c r="S163">
        <f>10+Inputs!$F$8</f>
        <v>16</v>
      </c>
      <c r="T16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3">
        <f>IF(event_tree[[#This Row],[fire_location]]="Apartment",Inputs!$F$12,Inputs!$F$11)</f>
        <v>60</v>
      </c>
      <c r="V163">
        <f>10+Inputs!$F$8</f>
        <v>16</v>
      </c>
      <c r="W163">
        <f>30</f>
        <v>30</v>
      </c>
      <c r="X163" t="str">
        <f>IF(event_tree[[#This Row],[ASET_scenario]]="X","extinguish",
   event_tree[[#This Row],[SOU_tdet]] + event_tree[[#This Row],[SOU_tpre]] + event_tree[[#This Row],[tnot]])</f>
        <v>extinguish</v>
      </c>
      <c r="Y163" t="str">
        <f>IF(event_tree[[#This Row],[ASET_scenario]]="X","extinguish",
   event_tree[[#This Row],[SOU_inside_RSET]] + event_tree[[#This Row],[SOU_ttrav]])</f>
        <v>extinguish</v>
      </c>
      <c r="Z16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3" t="str">
        <f>IF(event_tree[[#This Row],[ASET_scenario]]="X","extinguish", event_tree[[#This Row],[apt_ASET]]/event_tree[[#This Row],[SOU_inside_RSET]])</f>
        <v>extinguish</v>
      </c>
      <c r="AB163" t="str">
        <f>IF(event_tree[[#This Row],[ASET_scenario]]="X","extinguish",event_tree[[#This Row],[cor_ASET]]/event_tree[[#This Row],[SOU_outside_RSET]])</f>
        <v>extinguish</v>
      </c>
      <c r="AC163" t="str">
        <f>IF(event_tree[[#This Row],[ASET_scenario]]="X","extinguish",event_tree[[#This Row],[cor_ASET]]/event_tree[[#This Row],[remote_RSET]])</f>
        <v>extinguish</v>
      </c>
      <c r="AD163" t="b">
        <f>IF(OR(event_tree[[#This Row],[SOU_inside_ratio]]&lt;1,event_tree[[#This Row],[SOU_outside_ratio]]&lt;1),2)</f>
        <v>0</v>
      </c>
      <c r="AE163" t="b">
        <f>IF(event_tree[[#This Row],[remote_ratio]]&lt;1,2*(Inputs!$F$5-1))</f>
        <v>0</v>
      </c>
      <c r="AF163">
        <f>event_tree[[#This Row],[SOU_casualty]]+event_tree[[#This Row],[remote_casualty]]</f>
        <v>0</v>
      </c>
      <c r="AG163">
        <f>event_tree[[#This Row],[fire_frequency]]*event_tree[[#This Row],[probability_of_scenario]]</f>
        <v>2.0314476000000017E-7</v>
      </c>
      <c r="AH163">
        <f>event_tree[[#This Row],[total_casualty]]*event_tree[[#This Row],[fire_probability]]</f>
        <v>0</v>
      </c>
    </row>
    <row r="164" spans="1:34" x14ac:dyDescent="0.25">
      <c r="A164">
        <v>163</v>
      </c>
      <c r="B164" t="str" cm="1">
        <f t="array" ref="B16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4" t="str" cm="1">
        <f t="array" ref="C16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4" t="str" cm="1">
        <f t="array" ref="D16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4" t="str" cm="1">
        <f t="array" ref="E164">INDEX(sprinkler[sprinkler],
  1+MOD(QUOTIENT(ROW()-ROW($B$2),
     ROWS(manual_suppression[manual_suppression])*
     ROWS(door_open[door_open])*
     ROWS(smoke_seal[smoke_seal])
  ),
  ROWS(sprinkler[sprinkler]))
)</f>
        <v>Extinguish</v>
      </c>
      <c r="F164" t="str" cm="1">
        <f t="array" ref="F164">INDEX(manual_suppression[manual_suppression],
  1+MOD(QUOTIENT(ROW()-ROW($B$2),
     ROWS(door_open[door_open])*
     ROWS(smoke_seal[smoke_seal])
  ),
  ROWS(manual_suppression[manual_suppression]))
)</f>
        <v>Fail</v>
      </c>
      <c r="G164" t="str" cm="1">
        <f t="array" ref="G164">INDEX(door_open[door_open],
  1+MOD(QUOTIENT(ROW()-ROW($B$2),
     ROWS(smoke_seal[smoke_seal])
  ),
  ROWS(door_open[door_open]))
)</f>
        <v>Closed</v>
      </c>
      <c r="H164" t="str" cm="1">
        <f t="array" ref="H164">INDEX(smoke_seal[smoke_seal],
  1+MOD(ROW()-ROW($B$2), ROWS(smoke_seal[smoke_seal]))
)</f>
        <v>Fail</v>
      </c>
      <c r="I164" t="str">
        <f>IF(event_tree[[#This Row],[door_open]]="Open","Open",IF(event_tree[[#This Row],[smoke_seal]]="Success","Close","Part"))</f>
        <v>Part</v>
      </c>
      <c r="J164">
        <f>IF(B164="apartment",Inputs!$I$7,Inputs!$I$6)</f>
        <v>1.2999999999999999E-3</v>
      </c>
      <c r="K164">
        <f>PRODUCT(
  INDEX(fire_location[Probability],MATCH($B164,fire_location[fire_location],0)),
  INDEX(smoke_detection_apt[Probability],MATCH($C164,smoke_detection_apt[smoke_detection_apt],0)),
  INDEX(smoke_detection_corridor[Probability],MATCH($D164,smoke_detection_corridor[smoke_detection_corridor],0)),
  INDEX(sprinkler[Probability],MATCH($E164,sprinkler[sprinkler],0)),
  INDEX(manual_suppression[Probability],MATCH($F164,manual_suppression[manual_suppression],0)),
  INDEX(door_open[Probability],MATCH($G164,door_open[door_open],0)),
  INDEX(smoke_seal[Probability],MATCH($H164,smoke_seal[smoke_seal],0))
)</f>
        <v>1.9633320000000018E-4</v>
      </c>
      <c r="L16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4" t="str">
        <f>event_tree[[#This Row],[ASET_scenario]]&amp;Inputs!$F$8</f>
        <v>X6</v>
      </c>
      <c r="N16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4" t="str">
        <f>event_tree[[#This Row],[fire_location]]&amp;Inputs!$F$8</f>
        <v>Corridor6</v>
      </c>
      <c r="Q16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4">
        <f>IF(event_tree[[#This Row],[fire_location]]="Apartment",Inputs!$F$11,Inputs!$F$12)</f>
        <v>600</v>
      </c>
      <c r="S164">
        <f>10+Inputs!$F$8</f>
        <v>16</v>
      </c>
      <c r="T16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4">
        <f>IF(event_tree[[#This Row],[fire_location]]="Apartment",Inputs!$F$12,Inputs!$F$11)</f>
        <v>60</v>
      </c>
      <c r="V164">
        <f>10+Inputs!$F$8</f>
        <v>16</v>
      </c>
      <c r="W164">
        <f>30</f>
        <v>30</v>
      </c>
      <c r="X164" t="str">
        <f>IF(event_tree[[#This Row],[ASET_scenario]]="X","extinguish",
   event_tree[[#This Row],[SOU_tdet]] + event_tree[[#This Row],[SOU_tpre]] + event_tree[[#This Row],[tnot]])</f>
        <v>extinguish</v>
      </c>
      <c r="Y164" t="str">
        <f>IF(event_tree[[#This Row],[ASET_scenario]]="X","extinguish",
   event_tree[[#This Row],[SOU_inside_RSET]] + event_tree[[#This Row],[SOU_ttrav]])</f>
        <v>extinguish</v>
      </c>
      <c r="Z16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4" t="str">
        <f>IF(event_tree[[#This Row],[ASET_scenario]]="X","extinguish", event_tree[[#This Row],[apt_ASET]]/event_tree[[#This Row],[SOU_inside_RSET]])</f>
        <v>extinguish</v>
      </c>
      <c r="AB164" t="str">
        <f>IF(event_tree[[#This Row],[ASET_scenario]]="X","extinguish",event_tree[[#This Row],[cor_ASET]]/event_tree[[#This Row],[SOU_outside_RSET]])</f>
        <v>extinguish</v>
      </c>
      <c r="AC164" t="str">
        <f>IF(event_tree[[#This Row],[ASET_scenario]]="X","extinguish",event_tree[[#This Row],[cor_ASET]]/event_tree[[#This Row],[remote_RSET]])</f>
        <v>extinguish</v>
      </c>
      <c r="AD164" t="b">
        <f>IF(OR(event_tree[[#This Row],[SOU_inside_ratio]]&lt;1,event_tree[[#This Row],[SOU_outside_ratio]]&lt;1),2)</f>
        <v>0</v>
      </c>
      <c r="AE164" t="b">
        <f>IF(event_tree[[#This Row],[remote_ratio]]&lt;1,2*(Inputs!$F$5-1))</f>
        <v>0</v>
      </c>
      <c r="AF164">
        <f>event_tree[[#This Row],[SOU_casualty]]+event_tree[[#This Row],[remote_casualty]]</f>
        <v>0</v>
      </c>
      <c r="AG164">
        <f>event_tree[[#This Row],[fire_frequency]]*event_tree[[#This Row],[probability_of_scenario]]</f>
        <v>2.5523316000000023E-7</v>
      </c>
      <c r="AH164">
        <f>event_tree[[#This Row],[total_casualty]]*event_tree[[#This Row],[fire_probability]]</f>
        <v>0</v>
      </c>
    </row>
    <row r="165" spans="1:34" x14ac:dyDescent="0.25">
      <c r="A165">
        <v>164</v>
      </c>
      <c r="B165" t="str" cm="1">
        <f t="array" ref="B16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5" t="str" cm="1">
        <f t="array" ref="C16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5" t="str" cm="1">
        <f t="array" ref="D16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5" t="str" cm="1">
        <f t="array" ref="E165">INDEX(sprinkler[sprinkler],
  1+MOD(QUOTIENT(ROW()-ROW($B$2),
     ROWS(manual_suppression[manual_suppression])*
     ROWS(door_open[door_open])*
     ROWS(smoke_seal[smoke_seal])
  ),
  ROWS(sprinkler[sprinkler]))
)</f>
        <v>Extinguish</v>
      </c>
      <c r="F165" t="str" cm="1">
        <f t="array" ref="F165">INDEX(manual_suppression[manual_suppression],
  1+MOD(QUOTIENT(ROW()-ROW($B$2),
     ROWS(door_open[door_open])*
     ROWS(smoke_seal[smoke_seal])
  ),
  ROWS(manual_suppression[manual_suppression]))
)</f>
        <v>Fail</v>
      </c>
      <c r="G165" t="str" cm="1">
        <f t="array" ref="G165">INDEX(door_open[door_open],
  1+MOD(QUOTIENT(ROW()-ROW($B$2),
     ROWS(smoke_seal[smoke_seal])
  ),
  ROWS(door_open[door_open]))
)</f>
        <v>Closed</v>
      </c>
      <c r="H165" t="str" cm="1">
        <f t="array" ref="H165">INDEX(smoke_seal[smoke_seal],
  1+MOD(ROW()-ROW($B$2), ROWS(smoke_seal[smoke_seal]))
)</f>
        <v>Success</v>
      </c>
      <c r="I165" t="str">
        <f>IF(event_tree[[#This Row],[door_open]]="Open","Open",IF(event_tree[[#This Row],[smoke_seal]]="Success","Close","Part"))</f>
        <v>Close</v>
      </c>
      <c r="J165">
        <f>IF(B165="apartment",Inputs!$I$7,Inputs!$I$6)</f>
        <v>1.2999999999999999E-3</v>
      </c>
      <c r="K165">
        <f>PRODUCT(
  INDEX(fire_location[Probability],MATCH($B165,fire_location[fire_location],0)),
  INDEX(smoke_detection_apt[Probability],MATCH($C165,smoke_detection_apt[smoke_detection_apt],0)),
  INDEX(smoke_detection_corridor[Probability],MATCH($D165,smoke_detection_corridor[smoke_detection_corridor],0)),
  INDEX(sprinkler[Probability],MATCH($E165,sprinkler[sprinkler],0)),
  INDEX(manual_suppression[Probability],MATCH($F165,manual_suppression[manual_suppression],0)),
  INDEX(door_open[Probability],MATCH($G165,door_open[door_open],0)),
  INDEX(smoke_seal[Probability],MATCH($H165,smoke_seal[smoke_seal],0))
)</f>
        <v>3.6461880000000037E-4</v>
      </c>
      <c r="L16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5" t="str">
        <f>event_tree[[#This Row],[ASET_scenario]]&amp;Inputs!$F$8</f>
        <v>X6</v>
      </c>
      <c r="N16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5" t="str">
        <f>event_tree[[#This Row],[fire_location]]&amp;Inputs!$F$8</f>
        <v>Corridor6</v>
      </c>
      <c r="Q16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5">
        <f>IF(event_tree[[#This Row],[fire_location]]="Apartment",Inputs!$F$11,Inputs!$F$12)</f>
        <v>600</v>
      </c>
      <c r="S165">
        <f>10+Inputs!$F$8</f>
        <v>16</v>
      </c>
      <c r="T16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5">
        <f>IF(event_tree[[#This Row],[fire_location]]="Apartment",Inputs!$F$12,Inputs!$F$11)</f>
        <v>60</v>
      </c>
      <c r="V165">
        <f>10+Inputs!$F$8</f>
        <v>16</v>
      </c>
      <c r="W165">
        <f>30</f>
        <v>30</v>
      </c>
      <c r="X165" t="str">
        <f>IF(event_tree[[#This Row],[ASET_scenario]]="X","extinguish",
   event_tree[[#This Row],[SOU_tdet]] + event_tree[[#This Row],[SOU_tpre]] + event_tree[[#This Row],[tnot]])</f>
        <v>extinguish</v>
      </c>
      <c r="Y165" t="str">
        <f>IF(event_tree[[#This Row],[ASET_scenario]]="X","extinguish",
   event_tree[[#This Row],[SOU_inside_RSET]] + event_tree[[#This Row],[SOU_ttrav]])</f>
        <v>extinguish</v>
      </c>
      <c r="Z16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5" t="str">
        <f>IF(event_tree[[#This Row],[ASET_scenario]]="X","extinguish", event_tree[[#This Row],[apt_ASET]]/event_tree[[#This Row],[SOU_inside_RSET]])</f>
        <v>extinguish</v>
      </c>
      <c r="AB165" t="str">
        <f>IF(event_tree[[#This Row],[ASET_scenario]]="X","extinguish",event_tree[[#This Row],[cor_ASET]]/event_tree[[#This Row],[SOU_outside_RSET]])</f>
        <v>extinguish</v>
      </c>
      <c r="AC165" t="str">
        <f>IF(event_tree[[#This Row],[ASET_scenario]]="X","extinguish",event_tree[[#This Row],[cor_ASET]]/event_tree[[#This Row],[remote_RSET]])</f>
        <v>extinguish</v>
      </c>
      <c r="AD165" t="b">
        <f>IF(OR(event_tree[[#This Row],[SOU_inside_ratio]]&lt;1,event_tree[[#This Row],[SOU_outside_ratio]]&lt;1),2)</f>
        <v>0</v>
      </c>
      <c r="AE165" t="b">
        <f>IF(event_tree[[#This Row],[remote_ratio]]&lt;1,2*(Inputs!$F$5-1))</f>
        <v>0</v>
      </c>
      <c r="AF165">
        <f>event_tree[[#This Row],[SOU_casualty]]+event_tree[[#This Row],[remote_casualty]]</f>
        <v>0</v>
      </c>
      <c r="AG165">
        <f>event_tree[[#This Row],[fire_frequency]]*event_tree[[#This Row],[probability_of_scenario]]</f>
        <v>4.7400444000000047E-7</v>
      </c>
      <c r="AH165">
        <f>event_tree[[#This Row],[total_casualty]]*event_tree[[#This Row],[fire_probability]]</f>
        <v>0</v>
      </c>
    </row>
    <row r="166" spans="1:34" x14ac:dyDescent="0.25">
      <c r="A166">
        <v>165</v>
      </c>
      <c r="B166" t="str" cm="1">
        <f t="array" ref="B16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6" t="str" cm="1">
        <f t="array" ref="C16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6" t="str" cm="1">
        <f t="array" ref="D16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6" t="str" cm="1">
        <f t="array" ref="E166">INDEX(sprinkler[sprinkler],
  1+MOD(QUOTIENT(ROW()-ROW($B$2),
     ROWS(manual_suppression[manual_suppression])*
     ROWS(door_open[door_open])*
     ROWS(smoke_seal[smoke_seal])
  ),
  ROWS(sprinkler[sprinkler]))
)</f>
        <v>Extinguish</v>
      </c>
      <c r="F166" t="str" cm="1">
        <f t="array" ref="F166">INDEX(manual_suppression[manual_suppression],
  1+MOD(QUOTIENT(ROW()-ROW($B$2),
     ROWS(door_open[door_open])*
     ROWS(smoke_seal[smoke_seal])
  ),
  ROWS(manual_suppression[manual_suppression]))
)</f>
        <v>Suppress</v>
      </c>
      <c r="G166" t="str" cm="1">
        <f t="array" ref="G166">INDEX(door_open[door_open],
  1+MOD(QUOTIENT(ROW()-ROW($B$2),
     ROWS(smoke_seal[smoke_seal])
  ),
  ROWS(door_open[door_open]))
)</f>
        <v>Open</v>
      </c>
      <c r="H166" t="str" cm="1">
        <f t="array" ref="H166">INDEX(smoke_seal[smoke_seal],
  1+MOD(ROW()-ROW($B$2), ROWS(smoke_seal[smoke_seal]))
)</f>
        <v>Fail</v>
      </c>
      <c r="I166" t="str">
        <f>IF(event_tree[[#This Row],[door_open]]="Open","Open",IF(event_tree[[#This Row],[smoke_seal]]="Success","Close","Part"))</f>
        <v>Open</v>
      </c>
      <c r="J166">
        <f>IF(B166="apartment",Inputs!$I$7,Inputs!$I$6)</f>
        <v>1.2999999999999999E-3</v>
      </c>
      <c r="K166">
        <f>PRODUCT(
  INDEX(fire_location[Probability],MATCH($B166,fire_location[fire_location],0)),
  INDEX(smoke_detection_apt[Probability],MATCH($C166,smoke_detection_apt[smoke_detection_apt],0)),
  INDEX(smoke_detection_corridor[Probability],MATCH($D166,smoke_detection_corridor[smoke_detection_corridor],0)),
  INDEX(sprinkler[Probability],MATCH($E166,sprinkler[sprinkler],0)),
  INDEX(manual_suppression[Probability],MATCH($F166,manual_suppression[manual_suppression],0)),
  INDEX(door_open[Probability],MATCH($G166,door_open[door_open],0)),
  INDEX(smoke_seal[Probability],MATCH($H166,smoke_seal[smoke_seal],0))
)</f>
        <v>1.5626520000000015E-4</v>
      </c>
      <c r="L16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6" t="str">
        <f>event_tree[[#This Row],[ASET_scenario]]&amp;Inputs!$F$8</f>
        <v>X6</v>
      </c>
      <c r="N16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6" t="str">
        <f>event_tree[[#This Row],[fire_location]]&amp;Inputs!$F$8</f>
        <v>Corridor6</v>
      </c>
      <c r="Q16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6">
        <f>IF(event_tree[[#This Row],[fire_location]]="Apartment",Inputs!$F$11,Inputs!$F$12)</f>
        <v>600</v>
      </c>
      <c r="S166">
        <f>10+Inputs!$F$8</f>
        <v>16</v>
      </c>
      <c r="T16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6">
        <f>IF(event_tree[[#This Row],[fire_location]]="Apartment",Inputs!$F$12,Inputs!$F$11)</f>
        <v>60</v>
      </c>
      <c r="V166">
        <f>10+Inputs!$F$8</f>
        <v>16</v>
      </c>
      <c r="W166">
        <f>30</f>
        <v>30</v>
      </c>
      <c r="X166" t="str">
        <f>IF(event_tree[[#This Row],[ASET_scenario]]="X","extinguish",
   event_tree[[#This Row],[SOU_tdet]] + event_tree[[#This Row],[SOU_tpre]] + event_tree[[#This Row],[tnot]])</f>
        <v>extinguish</v>
      </c>
      <c r="Y166" t="str">
        <f>IF(event_tree[[#This Row],[ASET_scenario]]="X","extinguish",
   event_tree[[#This Row],[SOU_inside_RSET]] + event_tree[[#This Row],[SOU_ttrav]])</f>
        <v>extinguish</v>
      </c>
      <c r="Z16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6" t="str">
        <f>IF(event_tree[[#This Row],[ASET_scenario]]="X","extinguish", event_tree[[#This Row],[apt_ASET]]/event_tree[[#This Row],[SOU_inside_RSET]])</f>
        <v>extinguish</v>
      </c>
      <c r="AB166" t="str">
        <f>IF(event_tree[[#This Row],[ASET_scenario]]="X","extinguish",event_tree[[#This Row],[cor_ASET]]/event_tree[[#This Row],[SOU_outside_RSET]])</f>
        <v>extinguish</v>
      </c>
      <c r="AC166" t="str">
        <f>IF(event_tree[[#This Row],[ASET_scenario]]="X","extinguish",event_tree[[#This Row],[cor_ASET]]/event_tree[[#This Row],[remote_RSET]])</f>
        <v>extinguish</v>
      </c>
      <c r="AD166" t="b">
        <f>IF(OR(event_tree[[#This Row],[SOU_inside_ratio]]&lt;1,event_tree[[#This Row],[SOU_outside_ratio]]&lt;1),2)</f>
        <v>0</v>
      </c>
      <c r="AE166" t="b">
        <f>IF(event_tree[[#This Row],[remote_ratio]]&lt;1,2*(Inputs!$F$5-1))</f>
        <v>0</v>
      </c>
      <c r="AF166">
        <f>event_tree[[#This Row],[SOU_casualty]]+event_tree[[#This Row],[remote_casualty]]</f>
        <v>0</v>
      </c>
      <c r="AG166">
        <f>event_tree[[#This Row],[fire_frequency]]*event_tree[[#This Row],[probability_of_scenario]]</f>
        <v>2.0314476000000017E-7</v>
      </c>
      <c r="AH166">
        <f>event_tree[[#This Row],[total_casualty]]*event_tree[[#This Row],[fire_probability]]</f>
        <v>0</v>
      </c>
    </row>
    <row r="167" spans="1:34" x14ac:dyDescent="0.25">
      <c r="A167">
        <v>166</v>
      </c>
      <c r="B167" t="str" cm="1">
        <f t="array" ref="B16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7" t="str" cm="1">
        <f t="array" ref="C16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7" t="str" cm="1">
        <f t="array" ref="D16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7" t="str" cm="1">
        <f t="array" ref="E167">INDEX(sprinkler[sprinkler],
  1+MOD(QUOTIENT(ROW()-ROW($B$2),
     ROWS(manual_suppression[manual_suppression])*
     ROWS(door_open[door_open])*
     ROWS(smoke_seal[smoke_seal])
  ),
  ROWS(sprinkler[sprinkler]))
)</f>
        <v>Extinguish</v>
      </c>
      <c r="F167" t="str" cm="1">
        <f t="array" ref="F167">INDEX(manual_suppression[manual_suppression],
  1+MOD(QUOTIENT(ROW()-ROW($B$2),
     ROWS(door_open[door_open])*
     ROWS(smoke_seal[smoke_seal])
  ),
  ROWS(manual_suppression[manual_suppression]))
)</f>
        <v>Suppress</v>
      </c>
      <c r="G167" t="str" cm="1">
        <f t="array" ref="G167">INDEX(door_open[door_open],
  1+MOD(QUOTIENT(ROW()-ROW($B$2),
     ROWS(smoke_seal[smoke_seal])
  ),
  ROWS(door_open[door_open]))
)</f>
        <v>Open</v>
      </c>
      <c r="H167" t="str" cm="1">
        <f t="array" ref="H167">INDEX(smoke_seal[smoke_seal],
  1+MOD(ROW()-ROW($B$2), ROWS(smoke_seal[smoke_seal]))
)</f>
        <v>Success</v>
      </c>
      <c r="I167" t="str">
        <f>IF(event_tree[[#This Row],[door_open]]="Open","Open",IF(event_tree[[#This Row],[smoke_seal]]="Success","Close","Part"))</f>
        <v>Open</v>
      </c>
      <c r="J167">
        <f>IF(B167="apartment",Inputs!$I$7,Inputs!$I$6)</f>
        <v>1.2999999999999999E-3</v>
      </c>
      <c r="K167">
        <f>PRODUCT(
  INDEX(fire_location[Probability],MATCH($B167,fire_location[fire_location],0)),
  INDEX(smoke_detection_apt[Probability],MATCH($C167,smoke_detection_apt[smoke_detection_apt],0)),
  INDEX(smoke_detection_corridor[Probability],MATCH($D167,smoke_detection_corridor[smoke_detection_corridor],0)),
  INDEX(sprinkler[Probability],MATCH($E167,sprinkler[sprinkler],0)),
  INDEX(manual_suppression[Probability],MATCH($F167,manual_suppression[manual_suppression],0)),
  INDEX(door_open[Probability],MATCH($G167,door_open[door_open],0)),
  INDEX(smoke_seal[Probability],MATCH($H167,smoke_seal[smoke_seal],0))
)</f>
        <v>2.9020680000000032E-4</v>
      </c>
      <c r="L16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7" t="str">
        <f>event_tree[[#This Row],[ASET_scenario]]&amp;Inputs!$F$8</f>
        <v>X6</v>
      </c>
      <c r="N16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7" t="str">
        <f>event_tree[[#This Row],[fire_location]]&amp;Inputs!$F$8</f>
        <v>Corridor6</v>
      </c>
      <c r="Q16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7">
        <f>IF(event_tree[[#This Row],[fire_location]]="Apartment",Inputs!$F$11,Inputs!$F$12)</f>
        <v>600</v>
      </c>
      <c r="S167">
        <f>10+Inputs!$F$8</f>
        <v>16</v>
      </c>
      <c r="T16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7">
        <f>IF(event_tree[[#This Row],[fire_location]]="Apartment",Inputs!$F$12,Inputs!$F$11)</f>
        <v>60</v>
      </c>
      <c r="V167">
        <f>10+Inputs!$F$8</f>
        <v>16</v>
      </c>
      <c r="W167">
        <f>30</f>
        <v>30</v>
      </c>
      <c r="X167" t="str">
        <f>IF(event_tree[[#This Row],[ASET_scenario]]="X","extinguish",
   event_tree[[#This Row],[SOU_tdet]] + event_tree[[#This Row],[SOU_tpre]] + event_tree[[#This Row],[tnot]])</f>
        <v>extinguish</v>
      </c>
      <c r="Y167" t="str">
        <f>IF(event_tree[[#This Row],[ASET_scenario]]="X","extinguish",
   event_tree[[#This Row],[SOU_inside_RSET]] + event_tree[[#This Row],[SOU_ttrav]])</f>
        <v>extinguish</v>
      </c>
      <c r="Z16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7" t="str">
        <f>IF(event_tree[[#This Row],[ASET_scenario]]="X","extinguish", event_tree[[#This Row],[apt_ASET]]/event_tree[[#This Row],[SOU_inside_RSET]])</f>
        <v>extinguish</v>
      </c>
      <c r="AB167" t="str">
        <f>IF(event_tree[[#This Row],[ASET_scenario]]="X","extinguish",event_tree[[#This Row],[cor_ASET]]/event_tree[[#This Row],[SOU_outside_RSET]])</f>
        <v>extinguish</v>
      </c>
      <c r="AC167" t="str">
        <f>IF(event_tree[[#This Row],[ASET_scenario]]="X","extinguish",event_tree[[#This Row],[cor_ASET]]/event_tree[[#This Row],[remote_RSET]])</f>
        <v>extinguish</v>
      </c>
      <c r="AD167" t="b">
        <f>IF(OR(event_tree[[#This Row],[SOU_inside_ratio]]&lt;1,event_tree[[#This Row],[SOU_outside_ratio]]&lt;1),2)</f>
        <v>0</v>
      </c>
      <c r="AE167" t="b">
        <f>IF(event_tree[[#This Row],[remote_ratio]]&lt;1,2*(Inputs!$F$5-1))</f>
        <v>0</v>
      </c>
      <c r="AF167">
        <f>event_tree[[#This Row],[SOU_casualty]]+event_tree[[#This Row],[remote_casualty]]</f>
        <v>0</v>
      </c>
      <c r="AG167">
        <f>event_tree[[#This Row],[fire_frequency]]*event_tree[[#This Row],[probability_of_scenario]]</f>
        <v>3.7726884000000039E-7</v>
      </c>
      <c r="AH167">
        <f>event_tree[[#This Row],[total_casualty]]*event_tree[[#This Row],[fire_probability]]</f>
        <v>0</v>
      </c>
    </row>
    <row r="168" spans="1:34" x14ac:dyDescent="0.25">
      <c r="A168">
        <v>167</v>
      </c>
      <c r="B168" t="str" cm="1">
        <f t="array" ref="B16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8" t="str" cm="1">
        <f t="array" ref="C16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8" t="str" cm="1">
        <f t="array" ref="D16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8" t="str" cm="1">
        <f t="array" ref="E168">INDEX(sprinkler[sprinkler],
  1+MOD(QUOTIENT(ROW()-ROW($B$2),
     ROWS(manual_suppression[manual_suppression])*
     ROWS(door_open[door_open])*
     ROWS(smoke_seal[smoke_seal])
  ),
  ROWS(sprinkler[sprinkler]))
)</f>
        <v>Extinguish</v>
      </c>
      <c r="F168" t="str" cm="1">
        <f t="array" ref="F168">INDEX(manual_suppression[manual_suppression],
  1+MOD(QUOTIENT(ROW()-ROW($B$2),
     ROWS(door_open[door_open])*
     ROWS(smoke_seal[smoke_seal])
  ),
  ROWS(manual_suppression[manual_suppression]))
)</f>
        <v>Suppress</v>
      </c>
      <c r="G168" t="str" cm="1">
        <f t="array" ref="G168">INDEX(door_open[door_open],
  1+MOD(QUOTIENT(ROW()-ROW($B$2),
     ROWS(smoke_seal[smoke_seal])
  ),
  ROWS(door_open[door_open]))
)</f>
        <v>Closed</v>
      </c>
      <c r="H168" t="str" cm="1">
        <f t="array" ref="H168">INDEX(smoke_seal[smoke_seal],
  1+MOD(ROW()-ROW($B$2), ROWS(smoke_seal[smoke_seal]))
)</f>
        <v>Fail</v>
      </c>
      <c r="I168" t="str">
        <f>IF(event_tree[[#This Row],[door_open]]="Open","Open",IF(event_tree[[#This Row],[smoke_seal]]="Success","Close","Part"))</f>
        <v>Part</v>
      </c>
      <c r="J168">
        <f>IF(B168="apartment",Inputs!$I$7,Inputs!$I$6)</f>
        <v>1.2999999999999999E-3</v>
      </c>
      <c r="K168">
        <f>PRODUCT(
  INDEX(fire_location[Probability],MATCH($B168,fire_location[fire_location],0)),
  INDEX(smoke_detection_apt[Probability],MATCH($C168,smoke_detection_apt[smoke_detection_apt],0)),
  INDEX(smoke_detection_corridor[Probability],MATCH($D168,smoke_detection_corridor[smoke_detection_corridor],0)),
  INDEX(sprinkler[Probability],MATCH($E168,sprinkler[sprinkler],0)),
  INDEX(manual_suppression[Probability],MATCH($F168,manual_suppression[manual_suppression],0)),
  INDEX(door_open[Probability],MATCH($G168,door_open[door_open],0)),
  INDEX(smoke_seal[Probability],MATCH($H168,smoke_seal[smoke_seal],0))
)</f>
        <v>3.6461880000000037E-4</v>
      </c>
      <c r="L16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8" t="str">
        <f>event_tree[[#This Row],[ASET_scenario]]&amp;Inputs!$F$8</f>
        <v>X6</v>
      </c>
      <c r="N16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8" t="str">
        <f>event_tree[[#This Row],[fire_location]]&amp;Inputs!$F$8</f>
        <v>Corridor6</v>
      </c>
      <c r="Q16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8">
        <f>IF(event_tree[[#This Row],[fire_location]]="Apartment",Inputs!$F$11,Inputs!$F$12)</f>
        <v>600</v>
      </c>
      <c r="S168">
        <f>10+Inputs!$F$8</f>
        <v>16</v>
      </c>
      <c r="T16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8">
        <f>IF(event_tree[[#This Row],[fire_location]]="Apartment",Inputs!$F$12,Inputs!$F$11)</f>
        <v>60</v>
      </c>
      <c r="V168">
        <f>10+Inputs!$F$8</f>
        <v>16</v>
      </c>
      <c r="W168">
        <f>30</f>
        <v>30</v>
      </c>
      <c r="X168" t="str">
        <f>IF(event_tree[[#This Row],[ASET_scenario]]="X","extinguish",
   event_tree[[#This Row],[SOU_tdet]] + event_tree[[#This Row],[SOU_tpre]] + event_tree[[#This Row],[tnot]])</f>
        <v>extinguish</v>
      </c>
      <c r="Y168" t="str">
        <f>IF(event_tree[[#This Row],[ASET_scenario]]="X","extinguish",
   event_tree[[#This Row],[SOU_inside_RSET]] + event_tree[[#This Row],[SOU_ttrav]])</f>
        <v>extinguish</v>
      </c>
      <c r="Z16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8" t="str">
        <f>IF(event_tree[[#This Row],[ASET_scenario]]="X","extinguish", event_tree[[#This Row],[apt_ASET]]/event_tree[[#This Row],[SOU_inside_RSET]])</f>
        <v>extinguish</v>
      </c>
      <c r="AB168" t="str">
        <f>IF(event_tree[[#This Row],[ASET_scenario]]="X","extinguish",event_tree[[#This Row],[cor_ASET]]/event_tree[[#This Row],[SOU_outside_RSET]])</f>
        <v>extinguish</v>
      </c>
      <c r="AC168" t="str">
        <f>IF(event_tree[[#This Row],[ASET_scenario]]="X","extinguish",event_tree[[#This Row],[cor_ASET]]/event_tree[[#This Row],[remote_RSET]])</f>
        <v>extinguish</v>
      </c>
      <c r="AD168" t="b">
        <f>IF(OR(event_tree[[#This Row],[SOU_inside_ratio]]&lt;1,event_tree[[#This Row],[SOU_outside_ratio]]&lt;1),2)</f>
        <v>0</v>
      </c>
      <c r="AE168" t="b">
        <f>IF(event_tree[[#This Row],[remote_ratio]]&lt;1,2*(Inputs!$F$5-1))</f>
        <v>0</v>
      </c>
      <c r="AF168">
        <f>event_tree[[#This Row],[SOU_casualty]]+event_tree[[#This Row],[remote_casualty]]</f>
        <v>0</v>
      </c>
      <c r="AG168">
        <f>event_tree[[#This Row],[fire_frequency]]*event_tree[[#This Row],[probability_of_scenario]]</f>
        <v>4.7400444000000047E-7</v>
      </c>
      <c r="AH168">
        <f>event_tree[[#This Row],[total_casualty]]*event_tree[[#This Row],[fire_probability]]</f>
        <v>0</v>
      </c>
    </row>
    <row r="169" spans="1:34" x14ac:dyDescent="0.25">
      <c r="A169">
        <v>168</v>
      </c>
      <c r="B169" t="str" cm="1">
        <f t="array" ref="B16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69" t="str" cm="1">
        <f t="array" ref="C16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69" t="str" cm="1">
        <f t="array" ref="D16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Activate</v>
      </c>
      <c r="E169" t="str" cm="1">
        <f t="array" ref="E169">INDEX(sprinkler[sprinkler],
  1+MOD(QUOTIENT(ROW()-ROW($B$2),
     ROWS(manual_suppression[manual_suppression])*
     ROWS(door_open[door_open])*
     ROWS(smoke_seal[smoke_seal])
  ),
  ROWS(sprinkler[sprinkler]))
)</f>
        <v>Extinguish</v>
      </c>
      <c r="F169" t="str" cm="1">
        <f t="array" ref="F169">INDEX(manual_suppression[manual_suppression],
  1+MOD(QUOTIENT(ROW()-ROW($B$2),
     ROWS(door_open[door_open])*
     ROWS(smoke_seal[smoke_seal])
  ),
  ROWS(manual_suppression[manual_suppression]))
)</f>
        <v>Suppress</v>
      </c>
      <c r="G169" t="str" cm="1">
        <f t="array" ref="G169">INDEX(door_open[door_open],
  1+MOD(QUOTIENT(ROW()-ROW($B$2),
     ROWS(smoke_seal[smoke_seal])
  ),
  ROWS(door_open[door_open]))
)</f>
        <v>Closed</v>
      </c>
      <c r="H169" t="str" cm="1">
        <f t="array" ref="H169">INDEX(smoke_seal[smoke_seal],
  1+MOD(ROW()-ROW($B$2), ROWS(smoke_seal[smoke_seal]))
)</f>
        <v>Success</v>
      </c>
      <c r="I169" t="str">
        <f>IF(event_tree[[#This Row],[door_open]]="Open","Open",IF(event_tree[[#This Row],[smoke_seal]]="Success","Close","Part"))</f>
        <v>Close</v>
      </c>
      <c r="J169">
        <f>IF(B169="apartment",Inputs!$I$7,Inputs!$I$6)</f>
        <v>1.2999999999999999E-3</v>
      </c>
      <c r="K169">
        <f>PRODUCT(
  INDEX(fire_location[Probability],MATCH($B169,fire_location[fire_location],0)),
  INDEX(smoke_detection_apt[Probability],MATCH($C169,smoke_detection_apt[smoke_detection_apt],0)),
  INDEX(smoke_detection_corridor[Probability],MATCH($D169,smoke_detection_corridor[smoke_detection_corridor],0)),
  INDEX(sprinkler[Probability],MATCH($E169,sprinkler[sprinkler],0)),
  INDEX(manual_suppression[Probability],MATCH($F169,manual_suppression[manual_suppression],0)),
  INDEX(door_open[Probability],MATCH($G169,door_open[door_open],0)),
  INDEX(smoke_seal[Probability],MATCH($H169,smoke_seal[smoke_seal],0))
)</f>
        <v>6.7714920000000076E-4</v>
      </c>
      <c r="L16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69" t="str">
        <f>event_tree[[#This Row],[ASET_scenario]]&amp;Inputs!$F$8</f>
        <v>X6</v>
      </c>
      <c r="N16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6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69" t="str">
        <f>event_tree[[#This Row],[fire_location]]&amp;Inputs!$F$8</f>
        <v>Corridor6</v>
      </c>
      <c r="Q16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69">
        <f>IF(event_tree[[#This Row],[fire_location]]="Apartment",Inputs!$F$11,Inputs!$F$12)</f>
        <v>600</v>
      </c>
      <c r="S169">
        <f>10+Inputs!$F$8</f>
        <v>16</v>
      </c>
      <c r="T16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69">
        <f>IF(event_tree[[#This Row],[fire_location]]="Apartment",Inputs!$F$12,Inputs!$F$11)</f>
        <v>60</v>
      </c>
      <c r="V169">
        <f>10+Inputs!$F$8</f>
        <v>16</v>
      </c>
      <c r="W169">
        <f>30</f>
        <v>30</v>
      </c>
      <c r="X169" t="str">
        <f>IF(event_tree[[#This Row],[ASET_scenario]]="X","extinguish",
   event_tree[[#This Row],[SOU_tdet]] + event_tree[[#This Row],[SOU_tpre]] + event_tree[[#This Row],[tnot]])</f>
        <v>extinguish</v>
      </c>
      <c r="Y169" t="str">
        <f>IF(event_tree[[#This Row],[ASET_scenario]]="X","extinguish",
   event_tree[[#This Row],[SOU_inside_RSET]] + event_tree[[#This Row],[SOU_ttrav]])</f>
        <v>extinguish</v>
      </c>
      <c r="Z16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69" t="str">
        <f>IF(event_tree[[#This Row],[ASET_scenario]]="X","extinguish", event_tree[[#This Row],[apt_ASET]]/event_tree[[#This Row],[SOU_inside_RSET]])</f>
        <v>extinguish</v>
      </c>
      <c r="AB169" t="str">
        <f>IF(event_tree[[#This Row],[ASET_scenario]]="X","extinguish",event_tree[[#This Row],[cor_ASET]]/event_tree[[#This Row],[SOU_outside_RSET]])</f>
        <v>extinguish</v>
      </c>
      <c r="AC169" t="str">
        <f>IF(event_tree[[#This Row],[ASET_scenario]]="X","extinguish",event_tree[[#This Row],[cor_ASET]]/event_tree[[#This Row],[remote_RSET]])</f>
        <v>extinguish</v>
      </c>
      <c r="AD169" t="b">
        <f>IF(OR(event_tree[[#This Row],[SOU_inside_ratio]]&lt;1,event_tree[[#This Row],[SOU_outside_ratio]]&lt;1),2)</f>
        <v>0</v>
      </c>
      <c r="AE169" t="b">
        <f>IF(event_tree[[#This Row],[remote_ratio]]&lt;1,2*(Inputs!$F$5-1))</f>
        <v>0</v>
      </c>
      <c r="AF169">
        <f>event_tree[[#This Row],[SOU_casualty]]+event_tree[[#This Row],[remote_casualty]]</f>
        <v>0</v>
      </c>
      <c r="AG169">
        <f>event_tree[[#This Row],[fire_frequency]]*event_tree[[#This Row],[probability_of_scenario]]</f>
        <v>8.8029396000000092E-7</v>
      </c>
      <c r="AH169">
        <f>event_tree[[#This Row],[total_casualty]]*event_tree[[#This Row],[fire_probability]]</f>
        <v>0</v>
      </c>
    </row>
    <row r="170" spans="1:34" x14ac:dyDescent="0.25">
      <c r="A170">
        <v>169</v>
      </c>
      <c r="B170" t="str" cm="1">
        <f t="array" ref="B17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0" t="str" cm="1">
        <f t="array" ref="C17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0" t="str" cm="1">
        <f t="array" ref="D17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0" t="str" cm="1">
        <f t="array" ref="E170">INDEX(sprinkler[sprinkler],
  1+MOD(QUOTIENT(ROW()-ROW($B$2),
     ROWS(manual_suppression[manual_suppression])*
     ROWS(door_open[door_open])*
     ROWS(smoke_seal[smoke_seal])
  ),
  ROWS(sprinkler[sprinkler]))
)</f>
        <v>Fail</v>
      </c>
      <c r="F170" t="str" cm="1">
        <f t="array" ref="F170">INDEX(manual_suppression[manual_suppression],
  1+MOD(QUOTIENT(ROW()-ROW($B$2),
     ROWS(door_open[door_open])*
     ROWS(smoke_seal[smoke_seal])
  ),
  ROWS(manual_suppression[manual_suppression]))
)</f>
        <v>Fail</v>
      </c>
      <c r="G170" t="str" cm="1">
        <f t="array" ref="G170">INDEX(door_open[door_open],
  1+MOD(QUOTIENT(ROW()-ROW($B$2),
     ROWS(smoke_seal[smoke_seal])
  ),
  ROWS(door_open[door_open]))
)</f>
        <v>Open</v>
      </c>
      <c r="H170" t="str" cm="1">
        <f t="array" ref="H170">INDEX(smoke_seal[smoke_seal],
  1+MOD(ROW()-ROW($B$2), ROWS(smoke_seal[smoke_seal]))
)</f>
        <v>Fail</v>
      </c>
      <c r="I170" t="str">
        <f>IF(event_tree[[#This Row],[door_open]]="Open","Open",IF(event_tree[[#This Row],[smoke_seal]]="Success","Close","Part"))</f>
        <v>Open</v>
      </c>
      <c r="J170">
        <f>IF(B170="apartment",Inputs!$I$7,Inputs!$I$6)</f>
        <v>1.2999999999999999E-3</v>
      </c>
      <c r="K170">
        <f>PRODUCT(
  INDEX(fire_location[Probability],MATCH($B170,fire_location[fire_location],0)),
  INDEX(smoke_detection_apt[Probability],MATCH($C170,smoke_detection_apt[smoke_detection_apt],0)),
  INDEX(smoke_detection_corridor[Probability],MATCH($D170,smoke_detection_corridor[smoke_detection_corridor],0)),
  INDEX(sprinkler[Probability],MATCH($E170,sprinkler[sprinkler],0)),
  INDEX(manual_suppression[Probability],MATCH($F170,manual_suppression[manual_suppression],0)),
  INDEX(door_open[Probability],MATCH($G170,door_open[door_open],0)),
  INDEX(smoke_seal[Probability],MATCH($H170,smoke_seal[smoke_seal],0))
)</f>
        <v>1.9477500000000018E-6</v>
      </c>
      <c r="L17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G</v>
      </c>
      <c r="M170" t="str">
        <f>event_tree[[#This Row],[ASET_scenario]]&amp;Inputs!$F$8</f>
        <v>G6</v>
      </c>
      <c r="N170">
        <f>IF(OR(event_tree[[#This Row],[sprinkler]]="Extinguish",event_tree[[#This Row],[manual_suppression]]="Suppress"),"extinguish",_xlfn.XLOOKUP(event_tree[[#This Row],[ASET_helper1]],ASET_data[ASET_helper1],ASET_data[apt_ASET]))</f>
        <v>61</v>
      </c>
      <c r="O170">
        <f>IF(OR(event_tree[[#This Row],[sprinkler]]="Extinguish",event_tree[[#This Row],[manual_suppression]]="Suppress"),"extinguish",_xlfn.XLOOKUP(event_tree[[#This Row],[ASET_helper1]],ASET_data[ASET_helper1],ASET_data[cor_ASET]))</f>
        <v>39</v>
      </c>
      <c r="P170" t="str">
        <f>event_tree[[#This Row],[fire_location]]&amp;Inputs!$F$8</f>
        <v>Corridor6</v>
      </c>
      <c r="Q17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170">
        <f>IF(event_tree[[#This Row],[fire_location]]="Apartment",Inputs!$F$11,Inputs!$F$12)</f>
        <v>600</v>
      </c>
      <c r="S170">
        <f>10+Inputs!$F$8</f>
        <v>16</v>
      </c>
      <c r="T17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170">
        <f>IF(event_tree[[#This Row],[fire_location]]="Apartment",Inputs!$F$12,Inputs!$F$11)</f>
        <v>60</v>
      </c>
      <c r="V170">
        <f>10+Inputs!$F$8</f>
        <v>16</v>
      </c>
      <c r="W170">
        <f>30</f>
        <v>30</v>
      </c>
      <c r="X170">
        <f>IF(event_tree[[#This Row],[ASET_scenario]]="X","extinguish",
   event_tree[[#This Row],[SOU_tdet]] + event_tree[[#This Row],[SOU_tpre]] + event_tree[[#This Row],[tnot]])</f>
        <v>1530</v>
      </c>
      <c r="Y170">
        <f>IF(event_tree[[#This Row],[ASET_scenario]]="X","extinguish",
   event_tree[[#This Row],[SOU_inside_RSET]] + event_tree[[#This Row],[SOU_ttrav]])</f>
        <v>1546</v>
      </c>
      <c r="Z170">
        <f>IF(event_tree[[#This Row],[ASET_scenario]]="X","extinguish",
   event_tree[[#This Row],[remote_tdet]] + event_tree[[#This Row],[remote_tpre]] + event_tree[[#This Row],[remote_ttrav]] + event_tree[[#This Row],[tnot]])</f>
        <v>1006</v>
      </c>
      <c r="AA170">
        <f>IF(event_tree[[#This Row],[ASET_scenario]]="X","extinguish", event_tree[[#This Row],[apt_ASET]]/event_tree[[#This Row],[SOU_inside_RSET]])</f>
        <v>3.9869281045751631E-2</v>
      </c>
      <c r="AB170">
        <f>IF(event_tree[[#This Row],[ASET_scenario]]="X","extinguish",event_tree[[#This Row],[cor_ASET]]/event_tree[[#This Row],[SOU_outside_RSET]])</f>
        <v>2.5226390685640362E-2</v>
      </c>
      <c r="AC170">
        <f>IF(event_tree[[#This Row],[ASET_scenario]]="X","extinguish",event_tree[[#This Row],[cor_ASET]]/event_tree[[#This Row],[remote_RSET]])</f>
        <v>3.8767395626242547E-2</v>
      </c>
      <c r="AD170">
        <f>IF(OR(event_tree[[#This Row],[SOU_inside_ratio]]&lt;1,event_tree[[#This Row],[SOU_outside_ratio]]&lt;1),2)</f>
        <v>2</v>
      </c>
      <c r="AE170">
        <f>IF(event_tree[[#This Row],[remote_ratio]]&lt;1,2*(Inputs!$F$5-1))</f>
        <v>10</v>
      </c>
      <c r="AF170">
        <f>event_tree[[#This Row],[SOU_casualty]]+event_tree[[#This Row],[remote_casualty]]</f>
        <v>12</v>
      </c>
      <c r="AG170">
        <f>event_tree[[#This Row],[fire_frequency]]*event_tree[[#This Row],[probability_of_scenario]]</f>
        <v>2.5320750000000023E-9</v>
      </c>
      <c r="AH170">
        <f>event_tree[[#This Row],[total_casualty]]*event_tree[[#This Row],[fire_probability]]</f>
        <v>3.0384900000000025E-8</v>
      </c>
    </row>
    <row r="171" spans="1:34" x14ac:dyDescent="0.25">
      <c r="A171">
        <v>170</v>
      </c>
      <c r="B171" t="str" cm="1">
        <f t="array" ref="B17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1" t="str" cm="1">
        <f t="array" ref="C17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1" t="str" cm="1">
        <f t="array" ref="D17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1" t="str" cm="1">
        <f t="array" ref="E171">INDEX(sprinkler[sprinkler],
  1+MOD(QUOTIENT(ROW()-ROW($B$2),
     ROWS(manual_suppression[manual_suppression])*
     ROWS(door_open[door_open])*
     ROWS(smoke_seal[smoke_seal])
  ),
  ROWS(sprinkler[sprinkler]))
)</f>
        <v>Fail</v>
      </c>
      <c r="F171" t="str" cm="1">
        <f t="array" ref="F171">INDEX(manual_suppression[manual_suppression],
  1+MOD(QUOTIENT(ROW()-ROW($B$2),
     ROWS(door_open[door_open])*
     ROWS(smoke_seal[smoke_seal])
  ),
  ROWS(manual_suppression[manual_suppression]))
)</f>
        <v>Fail</v>
      </c>
      <c r="G171" t="str" cm="1">
        <f t="array" ref="G171">INDEX(door_open[door_open],
  1+MOD(QUOTIENT(ROW()-ROW($B$2),
     ROWS(smoke_seal[smoke_seal])
  ),
  ROWS(door_open[door_open]))
)</f>
        <v>Open</v>
      </c>
      <c r="H171" t="str" cm="1">
        <f t="array" ref="H171">INDEX(smoke_seal[smoke_seal],
  1+MOD(ROW()-ROW($B$2), ROWS(smoke_seal[smoke_seal]))
)</f>
        <v>Success</v>
      </c>
      <c r="I171" t="str">
        <f>IF(event_tree[[#This Row],[door_open]]="Open","Open",IF(event_tree[[#This Row],[smoke_seal]]="Success","Close","Part"))</f>
        <v>Open</v>
      </c>
      <c r="J171">
        <f>IF(B171="apartment",Inputs!$I$7,Inputs!$I$6)</f>
        <v>1.2999999999999999E-3</v>
      </c>
      <c r="K171">
        <f>PRODUCT(
  INDEX(fire_location[Probability],MATCH($B171,fire_location[fire_location],0)),
  INDEX(smoke_detection_apt[Probability],MATCH($C171,smoke_detection_apt[smoke_detection_apt],0)),
  INDEX(smoke_detection_corridor[Probability],MATCH($D171,smoke_detection_corridor[smoke_detection_corridor],0)),
  INDEX(sprinkler[Probability],MATCH($E171,sprinkler[sprinkler],0)),
  INDEX(manual_suppression[Probability],MATCH($F171,manual_suppression[manual_suppression],0)),
  INDEX(door_open[Probability],MATCH($G171,door_open[door_open],0)),
  INDEX(smoke_seal[Probability],MATCH($H171,smoke_seal[smoke_seal],0))
)</f>
        <v>3.6172500000000034E-6</v>
      </c>
      <c r="L17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G</v>
      </c>
      <c r="M171" t="str">
        <f>event_tree[[#This Row],[ASET_scenario]]&amp;Inputs!$F$8</f>
        <v>G6</v>
      </c>
      <c r="N171">
        <f>IF(OR(event_tree[[#This Row],[sprinkler]]="Extinguish",event_tree[[#This Row],[manual_suppression]]="Suppress"),"extinguish",_xlfn.XLOOKUP(event_tree[[#This Row],[ASET_helper1]],ASET_data[ASET_helper1],ASET_data[apt_ASET]))</f>
        <v>61</v>
      </c>
      <c r="O171">
        <f>IF(OR(event_tree[[#This Row],[sprinkler]]="Extinguish",event_tree[[#This Row],[manual_suppression]]="Suppress"),"extinguish",_xlfn.XLOOKUP(event_tree[[#This Row],[ASET_helper1]],ASET_data[ASET_helper1],ASET_data[cor_ASET]))</f>
        <v>39</v>
      </c>
      <c r="P171" t="str">
        <f>event_tree[[#This Row],[fire_location]]&amp;Inputs!$F$8</f>
        <v>Corridor6</v>
      </c>
      <c r="Q17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171">
        <f>IF(event_tree[[#This Row],[fire_location]]="Apartment",Inputs!$F$11,Inputs!$F$12)</f>
        <v>600</v>
      </c>
      <c r="S171">
        <f>10+Inputs!$F$8</f>
        <v>16</v>
      </c>
      <c r="T17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171">
        <f>IF(event_tree[[#This Row],[fire_location]]="Apartment",Inputs!$F$12,Inputs!$F$11)</f>
        <v>60</v>
      </c>
      <c r="V171">
        <f>10+Inputs!$F$8</f>
        <v>16</v>
      </c>
      <c r="W171">
        <f>30</f>
        <v>30</v>
      </c>
      <c r="X171">
        <f>IF(event_tree[[#This Row],[ASET_scenario]]="X","extinguish",
   event_tree[[#This Row],[SOU_tdet]] + event_tree[[#This Row],[SOU_tpre]] + event_tree[[#This Row],[tnot]])</f>
        <v>1530</v>
      </c>
      <c r="Y171">
        <f>IF(event_tree[[#This Row],[ASET_scenario]]="X","extinguish",
   event_tree[[#This Row],[SOU_inside_RSET]] + event_tree[[#This Row],[SOU_ttrav]])</f>
        <v>1546</v>
      </c>
      <c r="Z171">
        <f>IF(event_tree[[#This Row],[ASET_scenario]]="X","extinguish",
   event_tree[[#This Row],[remote_tdet]] + event_tree[[#This Row],[remote_tpre]] + event_tree[[#This Row],[remote_ttrav]] + event_tree[[#This Row],[tnot]])</f>
        <v>1006</v>
      </c>
      <c r="AA171">
        <f>IF(event_tree[[#This Row],[ASET_scenario]]="X","extinguish", event_tree[[#This Row],[apt_ASET]]/event_tree[[#This Row],[SOU_inside_RSET]])</f>
        <v>3.9869281045751631E-2</v>
      </c>
      <c r="AB171">
        <f>IF(event_tree[[#This Row],[ASET_scenario]]="X","extinguish",event_tree[[#This Row],[cor_ASET]]/event_tree[[#This Row],[SOU_outside_RSET]])</f>
        <v>2.5226390685640362E-2</v>
      </c>
      <c r="AC171">
        <f>IF(event_tree[[#This Row],[ASET_scenario]]="X","extinguish",event_tree[[#This Row],[cor_ASET]]/event_tree[[#This Row],[remote_RSET]])</f>
        <v>3.8767395626242547E-2</v>
      </c>
      <c r="AD171">
        <f>IF(OR(event_tree[[#This Row],[SOU_inside_ratio]]&lt;1,event_tree[[#This Row],[SOU_outside_ratio]]&lt;1),2)</f>
        <v>2</v>
      </c>
      <c r="AE171">
        <f>IF(event_tree[[#This Row],[remote_ratio]]&lt;1,2*(Inputs!$F$5-1))</f>
        <v>10</v>
      </c>
      <c r="AF171">
        <f>event_tree[[#This Row],[SOU_casualty]]+event_tree[[#This Row],[remote_casualty]]</f>
        <v>12</v>
      </c>
      <c r="AG171">
        <f>event_tree[[#This Row],[fire_frequency]]*event_tree[[#This Row],[probability_of_scenario]]</f>
        <v>4.7024250000000045E-9</v>
      </c>
      <c r="AH171">
        <f>event_tree[[#This Row],[total_casualty]]*event_tree[[#This Row],[fire_probability]]</f>
        <v>5.6429100000000054E-8</v>
      </c>
    </row>
    <row r="172" spans="1:34" x14ac:dyDescent="0.25">
      <c r="A172">
        <v>171</v>
      </c>
      <c r="B172" t="str" cm="1">
        <f t="array" ref="B17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2" t="str" cm="1">
        <f t="array" ref="C17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2" t="str" cm="1">
        <f t="array" ref="D17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2" t="str" cm="1">
        <f t="array" ref="E172">INDEX(sprinkler[sprinkler],
  1+MOD(QUOTIENT(ROW()-ROW($B$2),
     ROWS(manual_suppression[manual_suppression])*
     ROWS(door_open[door_open])*
     ROWS(smoke_seal[smoke_seal])
  ),
  ROWS(sprinkler[sprinkler]))
)</f>
        <v>Fail</v>
      </c>
      <c r="F172" t="str" cm="1">
        <f t="array" ref="F172">INDEX(manual_suppression[manual_suppression],
  1+MOD(QUOTIENT(ROW()-ROW($B$2),
     ROWS(door_open[door_open])*
     ROWS(smoke_seal[smoke_seal])
  ),
  ROWS(manual_suppression[manual_suppression]))
)</f>
        <v>Fail</v>
      </c>
      <c r="G172" t="str" cm="1">
        <f t="array" ref="G172">INDEX(door_open[door_open],
  1+MOD(QUOTIENT(ROW()-ROW($B$2),
     ROWS(smoke_seal[smoke_seal])
  ),
  ROWS(door_open[door_open]))
)</f>
        <v>Closed</v>
      </c>
      <c r="H172" t="str" cm="1">
        <f t="array" ref="H172">INDEX(smoke_seal[smoke_seal],
  1+MOD(ROW()-ROW($B$2), ROWS(smoke_seal[smoke_seal]))
)</f>
        <v>Fail</v>
      </c>
      <c r="I172" t="str">
        <f>IF(event_tree[[#This Row],[door_open]]="Open","Open",IF(event_tree[[#This Row],[smoke_seal]]="Success","Close","Part"))</f>
        <v>Part</v>
      </c>
      <c r="J172">
        <f>IF(B172="apartment",Inputs!$I$7,Inputs!$I$6)</f>
        <v>1.2999999999999999E-3</v>
      </c>
      <c r="K172">
        <f>PRODUCT(
  INDEX(fire_location[Probability],MATCH($B172,fire_location[fire_location],0)),
  INDEX(smoke_detection_apt[Probability],MATCH($C172,smoke_detection_apt[smoke_detection_apt],0)),
  INDEX(smoke_detection_corridor[Probability],MATCH($D172,smoke_detection_corridor[smoke_detection_corridor],0)),
  INDEX(sprinkler[Probability],MATCH($E172,sprinkler[sprinkler],0)),
  INDEX(manual_suppression[Probability],MATCH($F172,manual_suppression[manual_suppression],0)),
  INDEX(door_open[Probability],MATCH($G172,door_open[door_open],0)),
  INDEX(smoke_seal[Probability],MATCH($H172,smoke_seal[smoke_seal],0))
)</f>
        <v>4.5447500000000042E-6</v>
      </c>
      <c r="L17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I</v>
      </c>
      <c r="M172" t="str">
        <f>event_tree[[#This Row],[ASET_scenario]]&amp;Inputs!$F$8</f>
        <v>I6</v>
      </c>
      <c r="N172">
        <f>IF(OR(event_tree[[#This Row],[sprinkler]]="Extinguish",event_tree[[#This Row],[manual_suppression]]="Suppress"),"extinguish",_xlfn.XLOOKUP(event_tree[[#This Row],[ASET_helper1]],ASET_data[ASET_helper1],ASET_data[apt_ASET]))</f>
        <v>96</v>
      </c>
      <c r="O172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72" t="str">
        <f>event_tree[[#This Row],[fire_location]]&amp;Inputs!$F$8</f>
        <v>Corridor6</v>
      </c>
      <c r="Q17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172">
        <f>IF(event_tree[[#This Row],[fire_location]]="Apartment",Inputs!$F$11,Inputs!$F$12)</f>
        <v>600</v>
      </c>
      <c r="S172">
        <f>10+Inputs!$F$8</f>
        <v>16</v>
      </c>
      <c r="T17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172">
        <f>IF(event_tree[[#This Row],[fire_location]]="Apartment",Inputs!$F$12,Inputs!$F$11)</f>
        <v>60</v>
      </c>
      <c r="V172">
        <f>10+Inputs!$F$8</f>
        <v>16</v>
      </c>
      <c r="W172">
        <f>30</f>
        <v>30</v>
      </c>
      <c r="X172">
        <f>IF(event_tree[[#This Row],[ASET_scenario]]="X","extinguish",
   event_tree[[#This Row],[SOU_tdet]] + event_tree[[#This Row],[SOU_tpre]] + event_tree[[#This Row],[tnot]])</f>
        <v>1530</v>
      </c>
      <c r="Y172">
        <f>IF(event_tree[[#This Row],[ASET_scenario]]="X","extinguish",
   event_tree[[#This Row],[SOU_inside_RSET]] + event_tree[[#This Row],[SOU_ttrav]])</f>
        <v>1546</v>
      </c>
      <c r="Z172">
        <f>IF(event_tree[[#This Row],[ASET_scenario]]="X","extinguish",
   event_tree[[#This Row],[remote_tdet]] + event_tree[[#This Row],[remote_tpre]] + event_tree[[#This Row],[remote_ttrav]] + event_tree[[#This Row],[tnot]])</f>
        <v>1006</v>
      </c>
      <c r="AA172">
        <f>IF(event_tree[[#This Row],[ASET_scenario]]="X","extinguish", event_tree[[#This Row],[apt_ASET]]/event_tree[[#This Row],[SOU_inside_RSET]])</f>
        <v>6.2745098039215685E-2</v>
      </c>
      <c r="AB172">
        <f>IF(event_tree[[#This Row],[ASET_scenario]]="X","extinguish",event_tree[[#This Row],[cor_ASET]]/event_tree[[#This Row],[SOU_outside_RSET]])</f>
        <v>1.4230271668822769E-2</v>
      </c>
      <c r="AC172">
        <f>IF(event_tree[[#This Row],[ASET_scenario]]="X","extinguish",event_tree[[#This Row],[cor_ASET]]/event_tree[[#This Row],[remote_RSET]])</f>
        <v>2.186878727634195E-2</v>
      </c>
      <c r="AD172">
        <f>IF(OR(event_tree[[#This Row],[SOU_inside_ratio]]&lt;1,event_tree[[#This Row],[SOU_outside_ratio]]&lt;1),2)</f>
        <v>2</v>
      </c>
      <c r="AE172">
        <f>IF(event_tree[[#This Row],[remote_ratio]]&lt;1,2*(Inputs!$F$5-1))</f>
        <v>10</v>
      </c>
      <c r="AF172">
        <f>event_tree[[#This Row],[SOU_casualty]]+event_tree[[#This Row],[remote_casualty]]</f>
        <v>12</v>
      </c>
      <c r="AG172">
        <f>event_tree[[#This Row],[fire_frequency]]*event_tree[[#This Row],[probability_of_scenario]]</f>
        <v>5.9081750000000052E-9</v>
      </c>
      <c r="AH172">
        <f>event_tree[[#This Row],[total_casualty]]*event_tree[[#This Row],[fire_probability]]</f>
        <v>7.0898100000000062E-8</v>
      </c>
    </row>
    <row r="173" spans="1:34" x14ac:dyDescent="0.25">
      <c r="A173">
        <v>172</v>
      </c>
      <c r="B173" t="str" cm="1">
        <f t="array" ref="B17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3" t="str" cm="1">
        <f t="array" ref="C17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3" t="str" cm="1">
        <f t="array" ref="D17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3" t="str" cm="1">
        <f t="array" ref="E173">INDEX(sprinkler[sprinkler],
  1+MOD(QUOTIENT(ROW()-ROW($B$2),
     ROWS(manual_suppression[manual_suppression])*
     ROWS(door_open[door_open])*
     ROWS(smoke_seal[smoke_seal])
  ),
  ROWS(sprinkler[sprinkler]))
)</f>
        <v>Fail</v>
      </c>
      <c r="F173" t="str" cm="1">
        <f t="array" ref="F173">INDEX(manual_suppression[manual_suppression],
  1+MOD(QUOTIENT(ROW()-ROW($B$2),
     ROWS(door_open[door_open])*
     ROWS(smoke_seal[smoke_seal])
  ),
  ROWS(manual_suppression[manual_suppression]))
)</f>
        <v>Fail</v>
      </c>
      <c r="G173" t="str" cm="1">
        <f t="array" ref="G173">INDEX(door_open[door_open],
  1+MOD(QUOTIENT(ROW()-ROW($B$2),
     ROWS(smoke_seal[smoke_seal])
  ),
  ROWS(door_open[door_open]))
)</f>
        <v>Closed</v>
      </c>
      <c r="H173" t="str" cm="1">
        <f t="array" ref="H173">INDEX(smoke_seal[smoke_seal],
  1+MOD(ROW()-ROW($B$2), ROWS(smoke_seal[smoke_seal]))
)</f>
        <v>Success</v>
      </c>
      <c r="I173" t="str">
        <f>IF(event_tree[[#This Row],[door_open]]="Open","Open",IF(event_tree[[#This Row],[smoke_seal]]="Success","Close","Part"))</f>
        <v>Close</v>
      </c>
      <c r="J173">
        <f>IF(B173="apartment",Inputs!$I$7,Inputs!$I$6)</f>
        <v>1.2999999999999999E-3</v>
      </c>
      <c r="K173">
        <f>PRODUCT(
  INDEX(fire_location[Probability],MATCH($B173,fire_location[fire_location],0)),
  INDEX(smoke_detection_apt[Probability],MATCH($C173,smoke_detection_apt[smoke_detection_apt],0)),
  INDEX(smoke_detection_corridor[Probability],MATCH($D173,smoke_detection_corridor[smoke_detection_corridor],0)),
  INDEX(sprinkler[Probability],MATCH($E173,sprinkler[sprinkler],0)),
  INDEX(manual_suppression[Probability],MATCH($F173,manual_suppression[manual_suppression],0)),
  INDEX(door_open[Probability],MATCH($G173,door_open[door_open],0)),
  INDEX(smoke_seal[Probability],MATCH($H173,smoke_seal[smoke_seal],0))
)</f>
        <v>8.4402500000000078E-6</v>
      </c>
      <c r="L17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H</v>
      </c>
      <c r="M173" t="str">
        <f>event_tree[[#This Row],[ASET_scenario]]&amp;Inputs!$F$8</f>
        <v>H6</v>
      </c>
      <c r="N173">
        <f>IF(OR(event_tree[[#This Row],[sprinkler]]="Extinguish",event_tree[[#This Row],[manual_suppression]]="Suppress"),"extinguish",_xlfn.XLOOKUP(event_tree[[#This Row],[ASET_helper1]],ASET_data[ASET_helper1],ASET_data[apt_ASET]))</f>
        <v>3600</v>
      </c>
      <c r="O173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73" t="str">
        <f>event_tree[[#This Row],[fire_location]]&amp;Inputs!$F$8</f>
        <v>Corridor6</v>
      </c>
      <c r="Q17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173">
        <f>IF(event_tree[[#This Row],[fire_location]]="Apartment",Inputs!$F$11,Inputs!$F$12)</f>
        <v>600</v>
      </c>
      <c r="S173">
        <f>10+Inputs!$F$8</f>
        <v>16</v>
      </c>
      <c r="T17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173">
        <f>IF(event_tree[[#This Row],[fire_location]]="Apartment",Inputs!$F$12,Inputs!$F$11)</f>
        <v>60</v>
      </c>
      <c r="V173">
        <f>10+Inputs!$F$8</f>
        <v>16</v>
      </c>
      <c r="W173">
        <f>30</f>
        <v>30</v>
      </c>
      <c r="X173">
        <f>IF(event_tree[[#This Row],[ASET_scenario]]="X","extinguish",
   event_tree[[#This Row],[SOU_tdet]] + event_tree[[#This Row],[SOU_tpre]] + event_tree[[#This Row],[tnot]])</f>
        <v>1530</v>
      </c>
      <c r="Y173">
        <f>IF(event_tree[[#This Row],[ASET_scenario]]="X","extinguish",
   event_tree[[#This Row],[SOU_inside_RSET]] + event_tree[[#This Row],[SOU_ttrav]])</f>
        <v>1546</v>
      </c>
      <c r="Z173">
        <f>IF(event_tree[[#This Row],[ASET_scenario]]="X","extinguish",
   event_tree[[#This Row],[remote_tdet]] + event_tree[[#This Row],[remote_tpre]] + event_tree[[#This Row],[remote_ttrav]] + event_tree[[#This Row],[tnot]])</f>
        <v>1006</v>
      </c>
      <c r="AA173">
        <f>IF(event_tree[[#This Row],[ASET_scenario]]="X","extinguish", event_tree[[#This Row],[apt_ASET]]/event_tree[[#This Row],[SOU_inside_RSET]])</f>
        <v>2.3529411764705883</v>
      </c>
      <c r="AB173">
        <f>IF(event_tree[[#This Row],[ASET_scenario]]="X","extinguish",event_tree[[#This Row],[cor_ASET]]/event_tree[[#This Row],[SOU_outside_RSET]])</f>
        <v>1.4230271668822769E-2</v>
      </c>
      <c r="AC173">
        <f>IF(event_tree[[#This Row],[ASET_scenario]]="X","extinguish",event_tree[[#This Row],[cor_ASET]]/event_tree[[#This Row],[remote_RSET]])</f>
        <v>2.186878727634195E-2</v>
      </c>
      <c r="AD173">
        <f>IF(OR(event_tree[[#This Row],[SOU_inside_ratio]]&lt;1,event_tree[[#This Row],[SOU_outside_ratio]]&lt;1),2)</f>
        <v>2</v>
      </c>
      <c r="AE173">
        <f>IF(event_tree[[#This Row],[remote_ratio]]&lt;1,2*(Inputs!$F$5-1))</f>
        <v>10</v>
      </c>
      <c r="AF173">
        <f>event_tree[[#This Row],[SOU_casualty]]+event_tree[[#This Row],[remote_casualty]]</f>
        <v>12</v>
      </c>
      <c r="AG173">
        <f>event_tree[[#This Row],[fire_frequency]]*event_tree[[#This Row],[probability_of_scenario]]</f>
        <v>1.097232500000001E-8</v>
      </c>
      <c r="AH173">
        <f>event_tree[[#This Row],[total_casualty]]*event_tree[[#This Row],[fire_probability]]</f>
        <v>1.3166790000000013E-7</v>
      </c>
    </row>
    <row r="174" spans="1:34" x14ac:dyDescent="0.25">
      <c r="A174">
        <v>173</v>
      </c>
      <c r="B174" t="str" cm="1">
        <f t="array" ref="B17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4" t="str" cm="1">
        <f t="array" ref="C17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4" t="str" cm="1">
        <f t="array" ref="D17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4" t="str" cm="1">
        <f t="array" ref="E174">INDEX(sprinkler[sprinkler],
  1+MOD(QUOTIENT(ROW()-ROW($B$2),
     ROWS(manual_suppression[manual_suppression])*
     ROWS(door_open[door_open])*
     ROWS(smoke_seal[smoke_seal])
  ),
  ROWS(sprinkler[sprinkler]))
)</f>
        <v>Fail</v>
      </c>
      <c r="F174" t="str" cm="1">
        <f t="array" ref="F174">INDEX(manual_suppression[manual_suppression],
  1+MOD(QUOTIENT(ROW()-ROW($B$2),
     ROWS(door_open[door_open])*
     ROWS(smoke_seal[smoke_seal])
  ),
  ROWS(manual_suppression[manual_suppression]))
)</f>
        <v>Suppress</v>
      </c>
      <c r="G174" t="str" cm="1">
        <f t="array" ref="G174">INDEX(door_open[door_open],
  1+MOD(QUOTIENT(ROW()-ROW($B$2),
     ROWS(smoke_seal[smoke_seal])
  ),
  ROWS(door_open[door_open]))
)</f>
        <v>Open</v>
      </c>
      <c r="H174" t="str" cm="1">
        <f t="array" ref="H174">INDEX(smoke_seal[smoke_seal],
  1+MOD(ROW()-ROW($B$2), ROWS(smoke_seal[smoke_seal]))
)</f>
        <v>Fail</v>
      </c>
      <c r="I174" t="str">
        <f>IF(event_tree[[#This Row],[door_open]]="Open","Open",IF(event_tree[[#This Row],[smoke_seal]]="Success","Close","Part"))</f>
        <v>Open</v>
      </c>
      <c r="J174">
        <f>IF(B174="apartment",Inputs!$I$7,Inputs!$I$6)</f>
        <v>1.2999999999999999E-3</v>
      </c>
      <c r="K174">
        <f>PRODUCT(
  INDEX(fire_location[Probability],MATCH($B174,fire_location[fire_location],0)),
  INDEX(smoke_detection_apt[Probability],MATCH($C174,smoke_detection_apt[smoke_detection_apt],0)),
  INDEX(smoke_detection_corridor[Probability],MATCH($D174,smoke_detection_corridor[smoke_detection_corridor],0)),
  INDEX(sprinkler[Probability],MATCH($E174,sprinkler[sprinkler],0)),
  INDEX(manual_suppression[Probability],MATCH($F174,manual_suppression[manual_suppression],0)),
  INDEX(door_open[Probability],MATCH($G174,door_open[door_open],0)),
  INDEX(smoke_seal[Probability],MATCH($H174,smoke_seal[smoke_seal],0))
)</f>
        <v>3.6172500000000034E-6</v>
      </c>
      <c r="L17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74" t="str">
        <f>event_tree[[#This Row],[ASET_scenario]]&amp;Inputs!$F$8</f>
        <v>X6</v>
      </c>
      <c r="N17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7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74" t="str">
        <f>event_tree[[#This Row],[fire_location]]&amp;Inputs!$F$8</f>
        <v>Corridor6</v>
      </c>
      <c r="Q17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74">
        <f>IF(event_tree[[#This Row],[fire_location]]="Apartment",Inputs!$F$11,Inputs!$F$12)</f>
        <v>600</v>
      </c>
      <c r="S174">
        <f>10+Inputs!$F$8</f>
        <v>16</v>
      </c>
      <c r="T17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74">
        <f>IF(event_tree[[#This Row],[fire_location]]="Apartment",Inputs!$F$12,Inputs!$F$11)</f>
        <v>60</v>
      </c>
      <c r="V174">
        <f>10+Inputs!$F$8</f>
        <v>16</v>
      </c>
      <c r="W174">
        <f>30</f>
        <v>30</v>
      </c>
      <c r="X174" t="str">
        <f>IF(event_tree[[#This Row],[ASET_scenario]]="X","extinguish",
   event_tree[[#This Row],[SOU_tdet]] + event_tree[[#This Row],[SOU_tpre]] + event_tree[[#This Row],[tnot]])</f>
        <v>extinguish</v>
      </c>
      <c r="Y174" t="str">
        <f>IF(event_tree[[#This Row],[ASET_scenario]]="X","extinguish",
   event_tree[[#This Row],[SOU_inside_RSET]] + event_tree[[#This Row],[SOU_ttrav]])</f>
        <v>extinguish</v>
      </c>
      <c r="Z17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74" t="str">
        <f>IF(event_tree[[#This Row],[ASET_scenario]]="X","extinguish", event_tree[[#This Row],[apt_ASET]]/event_tree[[#This Row],[SOU_inside_RSET]])</f>
        <v>extinguish</v>
      </c>
      <c r="AB174" t="str">
        <f>IF(event_tree[[#This Row],[ASET_scenario]]="X","extinguish",event_tree[[#This Row],[cor_ASET]]/event_tree[[#This Row],[SOU_outside_RSET]])</f>
        <v>extinguish</v>
      </c>
      <c r="AC174" t="str">
        <f>IF(event_tree[[#This Row],[ASET_scenario]]="X","extinguish",event_tree[[#This Row],[cor_ASET]]/event_tree[[#This Row],[remote_RSET]])</f>
        <v>extinguish</v>
      </c>
      <c r="AD174" t="b">
        <f>IF(OR(event_tree[[#This Row],[SOU_inside_ratio]]&lt;1,event_tree[[#This Row],[SOU_outside_ratio]]&lt;1),2)</f>
        <v>0</v>
      </c>
      <c r="AE174" t="b">
        <f>IF(event_tree[[#This Row],[remote_ratio]]&lt;1,2*(Inputs!$F$5-1))</f>
        <v>0</v>
      </c>
      <c r="AF174">
        <f>event_tree[[#This Row],[SOU_casualty]]+event_tree[[#This Row],[remote_casualty]]</f>
        <v>0</v>
      </c>
      <c r="AG174">
        <f>event_tree[[#This Row],[fire_frequency]]*event_tree[[#This Row],[probability_of_scenario]]</f>
        <v>4.7024250000000045E-9</v>
      </c>
      <c r="AH174">
        <f>event_tree[[#This Row],[total_casualty]]*event_tree[[#This Row],[fire_probability]]</f>
        <v>0</v>
      </c>
    </row>
    <row r="175" spans="1:34" x14ac:dyDescent="0.25">
      <c r="A175">
        <v>174</v>
      </c>
      <c r="B175" t="str" cm="1">
        <f t="array" ref="B17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5" t="str" cm="1">
        <f t="array" ref="C17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5" t="str" cm="1">
        <f t="array" ref="D17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5" t="str" cm="1">
        <f t="array" ref="E175">INDEX(sprinkler[sprinkler],
  1+MOD(QUOTIENT(ROW()-ROW($B$2),
     ROWS(manual_suppression[manual_suppression])*
     ROWS(door_open[door_open])*
     ROWS(smoke_seal[smoke_seal])
  ),
  ROWS(sprinkler[sprinkler]))
)</f>
        <v>Fail</v>
      </c>
      <c r="F175" t="str" cm="1">
        <f t="array" ref="F175">INDEX(manual_suppression[manual_suppression],
  1+MOD(QUOTIENT(ROW()-ROW($B$2),
     ROWS(door_open[door_open])*
     ROWS(smoke_seal[smoke_seal])
  ),
  ROWS(manual_suppression[manual_suppression]))
)</f>
        <v>Suppress</v>
      </c>
      <c r="G175" t="str" cm="1">
        <f t="array" ref="G175">INDEX(door_open[door_open],
  1+MOD(QUOTIENT(ROW()-ROW($B$2),
     ROWS(smoke_seal[smoke_seal])
  ),
  ROWS(door_open[door_open]))
)</f>
        <v>Open</v>
      </c>
      <c r="H175" t="str" cm="1">
        <f t="array" ref="H175">INDEX(smoke_seal[smoke_seal],
  1+MOD(ROW()-ROW($B$2), ROWS(smoke_seal[smoke_seal]))
)</f>
        <v>Success</v>
      </c>
      <c r="I175" t="str">
        <f>IF(event_tree[[#This Row],[door_open]]="Open","Open",IF(event_tree[[#This Row],[smoke_seal]]="Success","Close","Part"))</f>
        <v>Open</v>
      </c>
      <c r="J175">
        <f>IF(B175="apartment",Inputs!$I$7,Inputs!$I$6)</f>
        <v>1.2999999999999999E-3</v>
      </c>
      <c r="K175">
        <f>PRODUCT(
  INDEX(fire_location[Probability],MATCH($B175,fire_location[fire_location],0)),
  INDEX(smoke_detection_apt[Probability],MATCH($C175,smoke_detection_apt[smoke_detection_apt],0)),
  INDEX(smoke_detection_corridor[Probability],MATCH($D175,smoke_detection_corridor[smoke_detection_corridor],0)),
  INDEX(sprinkler[Probability],MATCH($E175,sprinkler[sprinkler],0)),
  INDEX(manual_suppression[Probability],MATCH($F175,manual_suppression[manual_suppression],0)),
  INDEX(door_open[Probability],MATCH($G175,door_open[door_open],0)),
  INDEX(smoke_seal[Probability],MATCH($H175,smoke_seal[smoke_seal],0))
)</f>
        <v>6.717750000000007E-6</v>
      </c>
      <c r="L17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75" t="str">
        <f>event_tree[[#This Row],[ASET_scenario]]&amp;Inputs!$F$8</f>
        <v>X6</v>
      </c>
      <c r="N17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7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75" t="str">
        <f>event_tree[[#This Row],[fire_location]]&amp;Inputs!$F$8</f>
        <v>Corridor6</v>
      </c>
      <c r="Q17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75">
        <f>IF(event_tree[[#This Row],[fire_location]]="Apartment",Inputs!$F$11,Inputs!$F$12)</f>
        <v>600</v>
      </c>
      <c r="S175">
        <f>10+Inputs!$F$8</f>
        <v>16</v>
      </c>
      <c r="T17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75">
        <f>IF(event_tree[[#This Row],[fire_location]]="Apartment",Inputs!$F$12,Inputs!$F$11)</f>
        <v>60</v>
      </c>
      <c r="V175">
        <f>10+Inputs!$F$8</f>
        <v>16</v>
      </c>
      <c r="W175">
        <f>30</f>
        <v>30</v>
      </c>
      <c r="X175" t="str">
        <f>IF(event_tree[[#This Row],[ASET_scenario]]="X","extinguish",
   event_tree[[#This Row],[SOU_tdet]] + event_tree[[#This Row],[SOU_tpre]] + event_tree[[#This Row],[tnot]])</f>
        <v>extinguish</v>
      </c>
      <c r="Y175" t="str">
        <f>IF(event_tree[[#This Row],[ASET_scenario]]="X","extinguish",
   event_tree[[#This Row],[SOU_inside_RSET]] + event_tree[[#This Row],[SOU_ttrav]])</f>
        <v>extinguish</v>
      </c>
      <c r="Z17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75" t="str">
        <f>IF(event_tree[[#This Row],[ASET_scenario]]="X","extinguish", event_tree[[#This Row],[apt_ASET]]/event_tree[[#This Row],[SOU_inside_RSET]])</f>
        <v>extinguish</v>
      </c>
      <c r="AB175" t="str">
        <f>IF(event_tree[[#This Row],[ASET_scenario]]="X","extinguish",event_tree[[#This Row],[cor_ASET]]/event_tree[[#This Row],[SOU_outside_RSET]])</f>
        <v>extinguish</v>
      </c>
      <c r="AC175" t="str">
        <f>IF(event_tree[[#This Row],[ASET_scenario]]="X","extinguish",event_tree[[#This Row],[cor_ASET]]/event_tree[[#This Row],[remote_RSET]])</f>
        <v>extinguish</v>
      </c>
      <c r="AD175" t="b">
        <f>IF(OR(event_tree[[#This Row],[SOU_inside_ratio]]&lt;1,event_tree[[#This Row],[SOU_outside_ratio]]&lt;1),2)</f>
        <v>0</v>
      </c>
      <c r="AE175" t="b">
        <f>IF(event_tree[[#This Row],[remote_ratio]]&lt;1,2*(Inputs!$F$5-1))</f>
        <v>0</v>
      </c>
      <c r="AF175">
        <f>event_tree[[#This Row],[SOU_casualty]]+event_tree[[#This Row],[remote_casualty]]</f>
        <v>0</v>
      </c>
      <c r="AG175">
        <f>event_tree[[#This Row],[fire_frequency]]*event_tree[[#This Row],[probability_of_scenario]]</f>
        <v>8.7330750000000085E-9</v>
      </c>
      <c r="AH175">
        <f>event_tree[[#This Row],[total_casualty]]*event_tree[[#This Row],[fire_probability]]</f>
        <v>0</v>
      </c>
    </row>
    <row r="176" spans="1:34" x14ac:dyDescent="0.25">
      <c r="A176">
        <v>175</v>
      </c>
      <c r="B176" t="str" cm="1">
        <f t="array" ref="B17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6" t="str" cm="1">
        <f t="array" ref="C17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6" t="str" cm="1">
        <f t="array" ref="D17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6" t="str" cm="1">
        <f t="array" ref="E176">INDEX(sprinkler[sprinkler],
  1+MOD(QUOTIENT(ROW()-ROW($B$2),
     ROWS(manual_suppression[manual_suppression])*
     ROWS(door_open[door_open])*
     ROWS(smoke_seal[smoke_seal])
  ),
  ROWS(sprinkler[sprinkler]))
)</f>
        <v>Fail</v>
      </c>
      <c r="F176" t="str" cm="1">
        <f t="array" ref="F176">INDEX(manual_suppression[manual_suppression],
  1+MOD(QUOTIENT(ROW()-ROW($B$2),
     ROWS(door_open[door_open])*
     ROWS(smoke_seal[smoke_seal])
  ),
  ROWS(manual_suppression[manual_suppression]))
)</f>
        <v>Suppress</v>
      </c>
      <c r="G176" t="str" cm="1">
        <f t="array" ref="G176">INDEX(door_open[door_open],
  1+MOD(QUOTIENT(ROW()-ROW($B$2),
     ROWS(smoke_seal[smoke_seal])
  ),
  ROWS(door_open[door_open]))
)</f>
        <v>Closed</v>
      </c>
      <c r="H176" t="str" cm="1">
        <f t="array" ref="H176">INDEX(smoke_seal[smoke_seal],
  1+MOD(ROW()-ROW($B$2), ROWS(smoke_seal[smoke_seal]))
)</f>
        <v>Fail</v>
      </c>
      <c r="I176" t="str">
        <f>IF(event_tree[[#This Row],[door_open]]="Open","Open",IF(event_tree[[#This Row],[smoke_seal]]="Success","Close","Part"))</f>
        <v>Part</v>
      </c>
      <c r="J176">
        <f>IF(B176="apartment",Inputs!$I$7,Inputs!$I$6)</f>
        <v>1.2999999999999999E-3</v>
      </c>
      <c r="K176">
        <f>PRODUCT(
  INDEX(fire_location[Probability],MATCH($B176,fire_location[fire_location],0)),
  INDEX(smoke_detection_apt[Probability],MATCH($C176,smoke_detection_apt[smoke_detection_apt],0)),
  INDEX(smoke_detection_corridor[Probability],MATCH($D176,smoke_detection_corridor[smoke_detection_corridor],0)),
  INDEX(sprinkler[Probability],MATCH($E176,sprinkler[sprinkler],0)),
  INDEX(manual_suppression[Probability],MATCH($F176,manual_suppression[manual_suppression],0)),
  INDEX(door_open[Probability],MATCH($G176,door_open[door_open],0)),
  INDEX(smoke_seal[Probability],MATCH($H176,smoke_seal[smoke_seal],0))
)</f>
        <v>8.4402500000000078E-6</v>
      </c>
      <c r="L17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76" t="str">
        <f>event_tree[[#This Row],[ASET_scenario]]&amp;Inputs!$F$8</f>
        <v>X6</v>
      </c>
      <c r="N17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7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76" t="str">
        <f>event_tree[[#This Row],[fire_location]]&amp;Inputs!$F$8</f>
        <v>Corridor6</v>
      </c>
      <c r="Q17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76">
        <f>IF(event_tree[[#This Row],[fire_location]]="Apartment",Inputs!$F$11,Inputs!$F$12)</f>
        <v>600</v>
      </c>
      <c r="S176">
        <f>10+Inputs!$F$8</f>
        <v>16</v>
      </c>
      <c r="T17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76">
        <f>IF(event_tree[[#This Row],[fire_location]]="Apartment",Inputs!$F$12,Inputs!$F$11)</f>
        <v>60</v>
      </c>
      <c r="V176">
        <f>10+Inputs!$F$8</f>
        <v>16</v>
      </c>
      <c r="W176">
        <f>30</f>
        <v>30</v>
      </c>
      <c r="X176" t="str">
        <f>IF(event_tree[[#This Row],[ASET_scenario]]="X","extinguish",
   event_tree[[#This Row],[SOU_tdet]] + event_tree[[#This Row],[SOU_tpre]] + event_tree[[#This Row],[tnot]])</f>
        <v>extinguish</v>
      </c>
      <c r="Y176" t="str">
        <f>IF(event_tree[[#This Row],[ASET_scenario]]="X","extinguish",
   event_tree[[#This Row],[SOU_inside_RSET]] + event_tree[[#This Row],[SOU_ttrav]])</f>
        <v>extinguish</v>
      </c>
      <c r="Z17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76" t="str">
        <f>IF(event_tree[[#This Row],[ASET_scenario]]="X","extinguish", event_tree[[#This Row],[apt_ASET]]/event_tree[[#This Row],[SOU_inside_RSET]])</f>
        <v>extinguish</v>
      </c>
      <c r="AB176" t="str">
        <f>IF(event_tree[[#This Row],[ASET_scenario]]="X","extinguish",event_tree[[#This Row],[cor_ASET]]/event_tree[[#This Row],[SOU_outside_RSET]])</f>
        <v>extinguish</v>
      </c>
      <c r="AC176" t="str">
        <f>IF(event_tree[[#This Row],[ASET_scenario]]="X","extinguish",event_tree[[#This Row],[cor_ASET]]/event_tree[[#This Row],[remote_RSET]])</f>
        <v>extinguish</v>
      </c>
      <c r="AD176" t="b">
        <f>IF(OR(event_tree[[#This Row],[SOU_inside_ratio]]&lt;1,event_tree[[#This Row],[SOU_outside_ratio]]&lt;1),2)</f>
        <v>0</v>
      </c>
      <c r="AE176" t="b">
        <f>IF(event_tree[[#This Row],[remote_ratio]]&lt;1,2*(Inputs!$F$5-1))</f>
        <v>0</v>
      </c>
      <c r="AF176">
        <f>event_tree[[#This Row],[SOU_casualty]]+event_tree[[#This Row],[remote_casualty]]</f>
        <v>0</v>
      </c>
      <c r="AG176">
        <f>event_tree[[#This Row],[fire_frequency]]*event_tree[[#This Row],[probability_of_scenario]]</f>
        <v>1.097232500000001E-8</v>
      </c>
      <c r="AH176">
        <f>event_tree[[#This Row],[total_casualty]]*event_tree[[#This Row],[fire_probability]]</f>
        <v>0</v>
      </c>
    </row>
    <row r="177" spans="1:34" x14ac:dyDescent="0.25">
      <c r="A177">
        <v>176</v>
      </c>
      <c r="B177" t="str" cm="1">
        <f t="array" ref="B17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7" t="str" cm="1">
        <f t="array" ref="C17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7" t="str" cm="1">
        <f t="array" ref="D17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7" t="str" cm="1">
        <f t="array" ref="E177">INDEX(sprinkler[sprinkler],
  1+MOD(QUOTIENT(ROW()-ROW($B$2),
     ROWS(manual_suppression[manual_suppression])*
     ROWS(door_open[door_open])*
     ROWS(smoke_seal[smoke_seal])
  ),
  ROWS(sprinkler[sprinkler]))
)</f>
        <v>Fail</v>
      </c>
      <c r="F177" t="str" cm="1">
        <f t="array" ref="F177">INDEX(manual_suppression[manual_suppression],
  1+MOD(QUOTIENT(ROW()-ROW($B$2),
     ROWS(door_open[door_open])*
     ROWS(smoke_seal[smoke_seal])
  ),
  ROWS(manual_suppression[manual_suppression]))
)</f>
        <v>Suppress</v>
      </c>
      <c r="G177" t="str" cm="1">
        <f t="array" ref="G177">INDEX(door_open[door_open],
  1+MOD(QUOTIENT(ROW()-ROW($B$2),
     ROWS(smoke_seal[smoke_seal])
  ),
  ROWS(door_open[door_open]))
)</f>
        <v>Closed</v>
      </c>
      <c r="H177" t="str" cm="1">
        <f t="array" ref="H177">INDEX(smoke_seal[smoke_seal],
  1+MOD(ROW()-ROW($B$2), ROWS(smoke_seal[smoke_seal]))
)</f>
        <v>Success</v>
      </c>
      <c r="I177" t="str">
        <f>IF(event_tree[[#This Row],[door_open]]="Open","Open",IF(event_tree[[#This Row],[smoke_seal]]="Success","Close","Part"))</f>
        <v>Close</v>
      </c>
      <c r="J177">
        <f>IF(B177="apartment",Inputs!$I$7,Inputs!$I$6)</f>
        <v>1.2999999999999999E-3</v>
      </c>
      <c r="K177">
        <f>PRODUCT(
  INDEX(fire_location[Probability],MATCH($B177,fire_location[fire_location],0)),
  INDEX(smoke_detection_apt[Probability],MATCH($C177,smoke_detection_apt[smoke_detection_apt],0)),
  INDEX(smoke_detection_corridor[Probability],MATCH($D177,smoke_detection_corridor[smoke_detection_corridor],0)),
  INDEX(sprinkler[Probability],MATCH($E177,sprinkler[sprinkler],0)),
  INDEX(manual_suppression[Probability],MATCH($F177,manual_suppression[manual_suppression],0)),
  INDEX(door_open[Probability],MATCH($G177,door_open[door_open],0)),
  INDEX(smoke_seal[Probability],MATCH($H177,smoke_seal[smoke_seal],0))
)</f>
        <v>1.5674750000000018E-5</v>
      </c>
      <c r="L17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77" t="str">
        <f>event_tree[[#This Row],[ASET_scenario]]&amp;Inputs!$F$8</f>
        <v>X6</v>
      </c>
      <c r="N17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7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77" t="str">
        <f>event_tree[[#This Row],[fire_location]]&amp;Inputs!$F$8</f>
        <v>Corridor6</v>
      </c>
      <c r="Q17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77">
        <f>IF(event_tree[[#This Row],[fire_location]]="Apartment",Inputs!$F$11,Inputs!$F$12)</f>
        <v>600</v>
      </c>
      <c r="S177">
        <f>10+Inputs!$F$8</f>
        <v>16</v>
      </c>
      <c r="T17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77">
        <f>IF(event_tree[[#This Row],[fire_location]]="Apartment",Inputs!$F$12,Inputs!$F$11)</f>
        <v>60</v>
      </c>
      <c r="V177">
        <f>10+Inputs!$F$8</f>
        <v>16</v>
      </c>
      <c r="W177">
        <f>30</f>
        <v>30</v>
      </c>
      <c r="X177" t="str">
        <f>IF(event_tree[[#This Row],[ASET_scenario]]="X","extinguish",
   event_tree[[#This Row],[SOU_tdet]] + event_tree[[#This Row],[SOU_tpre]] + event_tree[[#This Row],[tnot]])</f>
        <v>extinguish</v>
      </c>
      <c r="Y177" t="str">
        <f>IF(event_tree[[#This Row],[ASET_scenario]]="X","extinguish",
   event_tree[[#This Row],[SOU_inside_RSET]] + event_tree[[#This Row],[SOU_ttrav]])</f>
        <v>extinguish</v>
      </c>
      <c r="Z17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77" t="str">
        <f>IF(event_tree[[#This Row],[ASET_scenario]]="X","extinguish", event_tree[[#This Row],[apt_ASET]]/event_tree[[#This Row],[SOU_inside_RSET]])</f>
        <v>extinguish</v>
      </c>
      <c r="AB177" t="str">
        <f>IF(event_tree[[#This Row],[ASET_scenario]]="X","extinguish",event_tree[[#This Row],[cor_ASET]]/event_tree[[#This Row],[SOU_outside_RSET]])</f>
        <v>extinguish</v>
      </c>
      <c r="AC177" t="str">
        <f>IF(event_tree[[#This Row],[ASET_scenario]]="X","extinguish",event_tree[[#This Row],[cor_ASET]]/event_tree[[#This Row],[remote_RSET]])</f>
        <v>extinguish</v>
      </c>
      <c r="AD177" t="b">
        <f>IF(OR(event_tree[[#This Row],[SOU_inside_ratio]]&lt;1,event_tree[[#This Row],[SOU_outside_ratio]]&lt;1),2)</f>
        <v>0</v>
      </c>
      <c r="AE177" t="b">
        <f>IF(event_tree[[#This Row],[remote_ratio]]&lt;1,2*(Inputs!$F$5-1))</f>
        <v>0</v>
      </c>
      <c r="AF177">
        <f>event_tree[[#This Row],[SOU_casualty]]+event_tree[[#This Row],[remote_casualty]]</f>
        <v>0</v>
      </c>
      <c r="AG177">
        <f>event_tree[[#This Row],[fire_frequency]]*event_tree[[#This Row],[probability_of_scenario]]</f>
        <v>2.0377175000000024E-8</v>
      </c>
      <c r="AH177">
        <f>event_tree[[#This Row],[total_casualty]]*event_tree[[#This Row],[fire_probability]]</f>
        <v>0</v>
      </c>
    </row>
    <row r="178" spans="1:34" x14ac:dyDescent="0.25">
      <c r="A178">
        <v>177</v>
      </c>
      <c r="B178" t="str" cm="1">
        <f t="array" ref="B17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8" t="str" cm="1">
        <f t="array" ref="C17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8" t="str" cm="1">
        <f t="array" ref="D17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8" t="str" cm="1">
        <f t="array" ref="E178">INDEX(sprinkler[sprinkler],
  1+MOD(QUOTIENT(ROW()-ROW($B$2),
     ROWS(manual_suppression[manual_suppression])*
     ROWS(door_open[door_open])*
     ROWS(smoke_seal[smoke_seal])
  ),
  ROWS(sprinkler[sprinkler]))
)</f>
        <v>Control</v>
      </c>
      <c r="F178" t="str" cm="1">
        <f t="array" ref="F178">INDEX(manual_suppression[manual_suppression],
  1+MOD(QUOTIENT(ROW()-ROW($B$2),
     ROWS(door_open[door_open])*
     ROWS(smoke_seal[smoke_seal])
  ),
  ROWS(manual_suppression[manual_suppression]))
)</f>
        <v>Fail</v>
      </c>
      <c r="G178" t="str" cm="1">
        <f t="array" ref="G178">INDEX(door_open[door_open],
  1+MOD(QUOTIENT(ROW()-ROW($B$2),
     ROWS(smoke_seal[smoke_seal])
  ),
  ROWS(door_open[door_open]))
)</f>
        <v>Open</v>
      </c>
      <c r="H178" t="str" cm="1">
        <f t="array" ref="H178">INDEX(smoke_seal[smoke_seal],
  1+MOD(ROW()-ROW($B$2), ROWS(smoke_seal[smoke_seal]))
)</f>
        <v>Fail</v>
      </c>
      <c r="I178" t="str">
        <f>IF(event_tree[[#This Row],[door_open]]="Open","Open",IF(event_tree[[#This Row],[smoke_seal]]="Success","Close","Part"))</f>
        <v>Open</v>
      </c>
      <c r="J178">
        <f>IF(B178="apartment",Inputs!$I$7,Inputs!$I$6)</f>
        <v>1.2999999999999999E-3</v>
      </c>
      <c r="K178">
        <f>PRODUCT(
  INDEX(fire_location[Probability],MATCH($B178,fire_location[fire_location],0)),
  INDEX(smoke_detection_apt[Probability],MATCH($C178,smoke_detection_apt[smoke_detection_apt],0)),
  INDEX(smoke_detection_corridor[Probability],MATCH($D178,smoke_detection_corridor[smoke_detection_corridor],0)),
  INDEX(sprinkler[Probability],MATCH($E178,sprinkler[sprinkler],0)),
  INDEX(manual_suppression[Probability],MATCH($F178,manual_suppression[manual_suppression],0)),
  INDEX(door_open[Probability],MATCH($G178,door_open[door_open],0)),
  INDEX(smoke_seal[Probability],MATCH($H178,smoke_seal[smoke_seal],0))
)</f>
        <v>8.1805500000000076E-6</v>
      </c>
      <c r="L17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J</v>
      </c>
      <c r="M178" t="str">
        <f>event_tree[[#This Row],[ASET_scenario]]&amp;Inputs!$F$8</f>
        <v>J6</v>
      </c>
      <c r="N178">
        <f>IF(OR(event_tree[[#This Row],[sprinkler]]="Extinguish",event_tree[[#This Row],[manual_suppression]]="Suppress"),"extinguish",_xlfn.XLOOKUP(event_tree[[#This Row],[ASET_helper1]],ASET_data[ASET_helper1],ASET_data[apt_ASET]))</f>
        <v>80</v>
      </c>
      <c r="O178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78" t="str">
        <f>event_tree[[#This Row],[fire_location]]&amp;Inputs!$F$8</f>
        <v>Corridor6</v>
      </c>
      <c r="Q17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178">
        <f>IF(event_tree[[#This Row],[fire_location]]="Apartment",Inputs!$F$11,Inputs!$F$12)</f>
        <v>600</v>
      </c>
      <c r="S178">
        <f>10+Inputs!$F$8</f>
        <v>16</v>
      </c>
      <c r="T17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178">
        <f>IF(event_tree[[#This Row],[fire_location]]="Apartment",Inputs!$F$12,Inputs!$F$11)</f>
        <v>60</v>
      </c>
      <c r="V178">
        <f>10+Inputs!$F$8</f>
        <v>16</v>
      </c>
      <c r="W178">
        <f>30</f>
        <v>30</v>
      </c>
      <c r="X178">
        <f>IF(event_tree[[#This Row],[ASET_scenario]]="X","extinguish",
   event_tree[[#This Row],[SOU_tdet]] + event_tree[[#This Row],[SOU_tpre]] + event_tree[[#This Row],[tnot]])</f>
        <v>1530</v>
      </c>
      <c r="Y178">
        <f>IF(event_tree[[#This Row],[ASET_scenario]]="X","extinguish",
   event_tree[[#This Row],[SOU_inside_RSET]] + event_tree[[#This Row],[SOU_ttrav]])</f>
        <v>1546</v>
      </c>
      <c r="Z178">
        <f>IF(event_tree[[#This Row],[ASET_scenario]]="X","extinguish",
   event_tree[[#This Row],[remote_tdet]] + event_tree[[#This Row],[remote_tpre]] + event_tree[[#This Row],[remote_ttrav]] + event_tree[[#This Row],[tnot]])</f>
        <v>1006</v>
      </c>
      <c r="AA178">
        <f>IF(event_tree[[#This Row],[ASET_scenario]]="X","extinguish", event_tree[[#This Row],[apt_ASET]]/event_tree[[#This Row],[SOU_inside_RSET]])</f>
        <v>5.2287581699346407E-2</v>
      </c>
      <c r="AB178">
        <f>IF(event_tree[[#This Row],[ASET_scenario]]="X","extinguish",event_tree[[#This Row],[cor_ASET]]/event_tree[[#This Row],[SOU_outside_RSET]])</f>
        <v>1.4230271668822769E-2</v>
      </c>
      <c r="AC178">
        <f>IF(event_tree[[#This Row],[ASET_scenario]]="X","extinguish",event_tree[[#This Row],[cor_ASET]]/event_tree[[#This Row],[remote_RSET]])</f>
        <v>2.186878727634195E-2</v>
      </c>
      <c r="AD178">
        <f>IF(OR(event_tree[[#This Row],[SOU_inside_ratio]]&lt;1,event_tree[[#This Row],[SOU_outside_ratio]]&lt;1),2)</f>
        <v>2</v>
      </c>
      <c r="AE178">
        <f>IF(event_tree[[#This Row],[remote_ratio]]&lt;1,2*(Inputs!$F$5-1))</f>
        <v>10</v>
      </c>
      <c r="AF178">
        <f>event_tree[[#This Row],[SOU_casualty]]+event_tree[[#This Row],[remote_casualty]]</f>
        <v>12</v>
      </c>
      <c r="AG178">
        <f>event_tree[[#This Row],[fire_frequency]]*event_tree[[#This Row],[probability_of_scenario]]</f>
        <v>1.0634715000000009E-8</v>
      </c>
      <c r="AH178">
        <f>event_tree[[#This Row],[total_casualty]]*event_tree[[#This Row],[fire_probability]]</f>
        <v>1.2761658000000011E-7</v>
      </c>
    </row>
    <row r="179" spans="1:34" x14ac:dyDescent="0.25">
      <c r="A179">
        <v>178</v>
      </c>
      <c r="B179" t="str" cm="1">
        <f t="array" ref="B17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79" t="str" cm="1">
        <f t="array" ref="C17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79" t="str" cm="1">
        <f t="array" ref="D17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79" t="str" cm="1">
        <f t="array" ref="E179">INDEX(sprinkler[sprinkler],
  1+MOD(QUOTIENT(ROW()-ROW($B$2),
     ROWS(manual_suppression[manual_suppression])*
     ROWS(door_open[door_open])*
     ROWS(smoke_seal[smoke_seal])
  ),
  ROWS(sprinkler[sprinkler]))
)</f>
        <v>Control</v>
      </c>
      <c r="F179" t="str" cm="1">
        <f t="array" ref="F179">INDEX(manual_suppression[manual_suppression],
  1+MOD(QUOTIENT(ROW()-ROW($B$2),
     ROWS(door_open[door_open])*
     ROWS(smoke_seal[smoke_seal])
  ),
  ROWS(manual_suppression[manual_suppression]))
)</f>
        <v>Fail</v>
      </c>
      <c r="G179" t="str" cm="1">
        <f t="array" ref="G179">INDEX(door_open[door_open],
  1+MOD(QUOTIENT(ROW()-ROW($B$2),
     ROWS(smoke_seal[smoke_seal])
  ),
  ROWS(door_open[door_open]))
)</f>
        <v>Open</v>
      </c>
      <c r="H179" t="str" cm="1">
        <f t="array" ref="H179">INDEX(smoke_seal[smoke_seal],
  1+MOD(ROW()-ROW($B$2), ROWS(smoke_seal[smoke_seal]))
)</f>
        <v>Success</v>
      </c>
      <c r="I179" t="str">
        <f>IF(event_tree[[#This Row],[door_open]]="Open","Open",IF(event_tree[[#This Row],[smoke_seal]]="Success","Close","Part"))</f>
        <v>Open</v>
      </c>
      <c r="J179">
        <f>IF(B179="apartment",Inputs!$I$7,Inputs!$I$6)</f>
        <v>1.2999999999999999E-3</v>
      </c>
      <c r="K179">
        <f>PRODUCT(
  INDEX(fire_location[Probability],MATCH($B179,fire_location[fire_location],0)),
  INDEX(smoke_detection_apt[Probability],MATCH($C179,smoke_detection_apt[smoke_detection_apt],0)),
  INDEX(smoke_detection_corridor[Probability],MATCH($D179,smoke_detection_corridor[smoke_detection_corridor],0)),
  INDEX(sprinkler[Probability],MATCH($E179,sprinkler[sprinkler],0)),
  INDEX(manual_suppression[Probability],MATCH($F179,manual_suppression[manual_suppression],0)),
  INDEX(door_open[Probability],MATCH($G179,door_open[door_open],0)),
  INDEX(smoke_seal[Probability],MATCH($H179,smoke_seal[smoke_seal],0))
)</f>
        <v>1.5192450000000014E-5</v>
      </c>
      <c r="L17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J</v>
      </c>
      <c r="M179" t="str">
        <f>event_tree[[#This Row],[ASET_scenario]]&amp;Inputs!$F$8</f>
        <v>J6</v>
      </c>
      <c r="N179">
        <f>IF(OR(event_tree[[#This Row],[sprinkler]]="Extinguish",event_tree[[#This Row],[manual_suppression]]="Suppress"),"extinguish",_xlfn.XLOOKUP(event_tree[[#This Row],[ASET_helper1]],ASET_data[ASET_helper1],ASET_data[apt_ASET]))</f>
        <v>80</v>
      </c>
      <c r="O179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79" t="str">
        <f>event_tree[[#This Row],[fire_location]]&amp;Inputs!$F$8</f>
        <v>Corridor6</v>
      </c>
      <c r="Q17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179">
        <f>IF(event_tree[[#This Row],[fire_location]]="Apartment",Inputs!$F$11,Inputs!$F$12)</f>
        <v>600</v>
      </c>
      <c r="S179">
        <f>10+Inputs!$F$8</f>
        <v>16</v>
      </c>
      <c r="T17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179">
        <f>IF(event_tree[[#This Row],[fire_location]]="Apartment",Inputs!$F$12,Inputs!$F$11)</f>
        <v>60</v>
      </c>
      <c r="V179">
        <f>10+Inputs!$F$8</f>
        <v>16</v>
      </c>
      <c r="W179">
        <f>30</f>
        <v>30</v>
      </c>
      <c r="X179">
        <f>IF(event_tree[[#This Row],[ASET_scenario]]="X","extinguish",
   event_tree[[#This Row],[SOU_tdet]] + event_tree[[#This Row],[SOU_tpre]] + event_tree[[#This Row],[tnot]])</f>
        <v>1530</v>
      </c>
      <c r="Y179">
        <f>IF(event_tree[[#This Row],[ASET_scenario]]="X","extinguish",
   event_tree[[#This Row],[SOU_inside_RSET]] + event_tree[[#This Row],[SOU_ttrav]])</f>
        <v>1546</v>
      </c>
      <c r="Z179">
        <f>IF(event_tree[[#This Row],[ASET_scenario]]="X","extinguish",
   event_tree[[#This Row],[remote_tdet]] + event_tree[[#This Row],[remote_tpre]] + event_tree[[#This Row],[remote_ttrav]] + event_tree[[#This Row],[tnot]])</f>
        <v>1006</v>
      </c>
      <c r="AA179">
        <f>IF(event_tree[[#This Row],[ASET_scenario]]="X","extinguish", event_tree[[#This Row],[apt_ASET]]/event_tree[[#This Row],[SOU_inside_RSET]])</f>
        <v>5.2287581699346407E-2</v>
      </c>
      <c r="AB179">
        <f>IF(event_tree[[#This Row],[ASET_scenario]]="X","extinguish",event_tree[[#This Row],[cor_ASET]]/event_tree[[#This Row],[SOU_outside_RSET]])</f>
        <v>1.4230271668822769E-2</v>
      </c>
      <c r="AC179">
        <f>IF(event_tree[[#This Row],[ASET_scenario]]="X","extinguish",event_tree[[#This Row],[cor_ASET]]/event_tree[[#This Row],[remote_RSET]])</f>
        <v>2.186878727634195E-2</v>
      </c>
      <c r="AD179">
        <f>IF(OR(event_tree[[#This Row],[SOU_inside_ratio]]&lt;1,event_tree[[#This Row],[SOU_outside_ratio]]&lt;1),2)</f>
        <v>2</v>
      </c>
      <c r="AE179">
        <f>IF(event_tree[[#This Row],[remote_ratio]]&lt;1,2*(Inputs!$F$5-1))</f>
        <v>10</v>
      </c>
      <c r="AF179">
        <f>event_tree[[#This Row],[SOU_casualty]]+event_tree[[#This Row],[remote_casualty]]</f>
        <v>12</v>
      </c>
      <c r="AG179">
        <f>event_tree[[#This Row],[fire_frequency]]*event_tree[[#This Row],[probability_of_scenario]]</f>
        <v>1.9750185000000017E-8</v>
      </c>
      <c r="AH179">
        <f>event_tree[[#This Row],[total_casualty]]*event_tree[[#This Row],[fire_probability]]</f>
        <v>2.3700222000000021E-7</v>
      </c>
    </row>
    <row r="180" spans="1:34" x14ac:dyDescent="0.25">
      <c r="A180">
        <v>179</v>
      </c>
      <c r="B180" t="str" cm="1">
        <f t="array" ref="B18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0" t="str" cm="1">
        <f t="array" ref="C18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0" t="str" cm="1">
        <f t="array" ref="D18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0" t="str" cm="1">
        <f t="array" ref="E180">INDEX(sprinkler[sprinkler],
  1+MOD(QUOTIENT(ROW()-ROW($B$2),
     ROWS(manual_suppression[manual_suppression])*
     ROWS(door_open[door_open])*
     ROWS(smoke_seal[smoke_seal])
  ),
  ROWS(sprinkler[sprinkler]))
)</f>
        <v>Control</v>
      </c>
      <c r="F180" t="str" cm="1">
        <f t="array" ref="F180">INDEX(manual_suppression[manual_suppression],
  1+MOD(QUOTIENT(ROW()-ROW($B$2),
     ROWS(door_open[door_open])*
     ROWS(smoke_seal[smoke_seal])
  ),
  ROWS(manual_suppression[manual_suppression]))
)</f>
        <v>Fail</v>
      </c>
      <c r="G180" t="str" cm="1">
        <f t="array" ref="G180">INDEX(door_open[door_open],
  1+MOD(QUOTIENT(ROW()-ROW($B$2),
     ROWS(smoke_seal[smoke_seal])
  ),
  ROWS(door_open[door_open]))
)</f>
        <v>Closed</v>
      </c>
      <c r="H180" t="str" cm="1">
        <f t="array" ref="H180">INDEX(smoke_seal[smoke_seal],
  1+MOD(ROW()-ROW($B$2), ROWS(smoke_seal[smoke_seal]))
)</f>
        <v>Fail</v>
      </c>
      <c r="I180" t="str">
        <f>IF(event_tree[[#This Row],[door_open]]="Open","Open",IF(event_tree[[#This Row],[smoke_seal]]="Success","Close","Part"))</f>
        <v>Part</v>
      </c>
      <c r="J180">
        <f>IF(B180="apartment",Inputs!$I$7,Inputs!$I$6)</f>
        <v>1.2999999999999999E-3</v>
      </c>
      <c r="K180">
        <f>PRODUCT(
  INDEX(fire_location[Probability],MATCH($B180,fire_location[fire_location],0)),
  INDEX(smoke_detection_apt[Probability],MATCH($C180,smoke_detection_apt[smoke_detection_apt],0)),
  INDEX(smoke_detection_corridor[Probability],MATCH($D180,smoke_detection_corridor[smoke_detection_corridor],0)),
  INDEX(sprinkler[Probability],MATCH($E180,sprinkler[sprinkler],0)),
  INDEX(manual_suppression[Probability],MATCH($F180,manual_suppression[manual_suppression],0)),
  INDEX(door_open[Probability],MATCH($G180,door_open[door_open],0)),
  INDEX(smoke_seal[Probability],MATCH($H180,smoke_seal[smoke_seal],0))
)</f>
        <v>1.9087950000000014E-5</v>
      </c>
      <c r="L18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L</v>
      </c>
      <c r="M180" t="str">
        <f>event_tree[[#This Row],[ASET_scenario]]&amp;Inputs!$F$8</f>
        <v>L6</v>
      </c>
      <c r="N180">
        <f>IF(OR(event_tree[[#This Row],[sprinkler]]="Extinguish",event_tree[[#This Row],[manual_suppression]]="Suppress"),"extinguish",_xlfn.XLOOKUP(event_tree[[#This Row],[ASET_helper1]],ASET_data[ASET_helper1],ASET_data[apt_ASET]))</f>
        <v>96</v>
      </c>
      <c r="O180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80" t="str">
        <f>event_tree[[#This Row],[fire_location]]&amp;Inputs!$F$8</f>
        <v>Corridor6</v>
      </c>
      <c r="Q18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180">
        <f>IF(event_tree[[#This Row],[fire_location]]="Apartment",Inputs!$F$11,Inputs!$F$12)</f>
        <v>600</v>
      </c>
      <c r="S180">
        <f>10+Inputs!$F$8</f>
        <v>16</v>
      </c>
      <c r="T18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180">
        <f>IF(event_tree[[#This Row],[fire_location]]="Apartment",Inputs!$F$12,Inputs!$F$11)</f>
        <v>60</v>
      </c>
      <c r="V180">
        <f>10+Inputs!$F$8</f>
        <v>16</v>
      </c>
      <c r="W180">
        <f>30</f>
        <v>30</v>
      </c>
      <c r="X180">
        <f>IF(event_tree[[#This Row],[ASET_scenario]]="X","extinguish",
   event_tree[[#This Row],[SOU_tdet]] + event_tree[[#This Row],[SOU_tpre]] + event_tree[[#This Row],[tnot]])</f>
        <v>1530</v>
      </c>
      <c r="Y180">
        <f>IF(event_tree[[#This Row],[ASET_scenario]]="X","extinguish",
   event_tree[[#This Row],[SOU_inside_RSET]] + event_tree[[#This Row],[SOU_ttrav]])</f>
        <v>1546</v>
      </c>
      <c r="Z180">
        <f>IF(event_tree[[#This Row],[ASET_scenario]]="X","extinguish",
   event_tree[[#This Row],[remote_tdet]] + event_tree[[#This Row],[remote_tpre]] + event_tree[[#This Row],[remote_ttrav]] + event_tree[[#This Row],[tnot]])</f>
        <v>1006</v>
      </c>
      <c r="AA180">
        <f>IF(event_tree[[#This Row],[ASET_scenario]]="X","extinguish", event_tree[[#This Row],[apt_ASET]]/event_tree[[#This Row],[SOU_inside_RSET]])</f>
        <v>6.2745098039215685E-2</v>
      </c>
      <c r="AB180">
        <f>IF(event_tree[[#This Row],[ASET_scenario]]="X","extinguish",event_tree[[#This Row],[cor_ASET]]/event_tree[[#This Row],[SOU_outside_RSET]])</f>
        <v>1.4230271668822769E-2</v>
      </c>
      <c r="AC180">
        <f>IF(event_tree[[#This Row],[ASET_scenario]]="X","extinguish",event_tree[[#This Row],[cor_ASET]]/event_tree[[#This Row],[remote_RSET]])</f>
        <v>2.186878727634195E-2</v>
      </c>
      <c r="AD180">
        <f>IF(OR(event_tree[[#This Row],[SOU_inside_ratio]]&lt;1,event_tree[[#This Row],[SOU_outside_ratio]]&lt;1),2)</f>
        <v>2</v>
      </c>
      <c r="AE180">
        <f>IF(event_tree[[#This Row],[remote_ratio]]&lt;1,2*(Inputs!$F$5-1))</f>
        <v>10</v>
      </c>
      <c r="AF180">
        <f>event_tree[[#This Row],[SOU_casualty]]+event_tree[[#This Row],[remote_casualty]]</f>
        <v>12</v>
      </c>
      <c r="AG180">
        <f>event_tree[[#This Row],[fire_frequency]]*event_tree[[#This Row],[probability_of_scenario]]</f>
        <v>2.4814335000000017E-8</v>
      </c>
      <c r="AH180">
        <f>event_tree[[#This Row],[total_casualty]]*event_tree[[#This Row],[fire_probability]]</f>
        <v>2.9777202000000018E-7</v>
      </c>
    </row>
    <row r="181" spans="1:34" x14ac:dyDescent="0.25">
      <c r="A181">
        <v>180</v>
      </c>
      <c r="B181" t="str" cm="1">
        <f t="array" ref="B18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1" t="str" cm="1">
        <f t="array" ref="C18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1" t="str" cm="1">
        <f t="array" ref="D18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1" t="str" cm="1">
        <f t="array" ref="E181">INDEX(sprinkler[sprinkler],
  1+MOD(QUOTIENT(ROW()-ROW($B$2),
     ROWS(manual_suppression[manual_suppression])*
     ROWS(door_open[door_open])*
     ROWS(smoke_seal[smoke_seal])
  ),
  ROWS(sprinkler[sprinkler]))
)</f>
        <v>Control</v>
      </c>
      <c r="F181" t="str" cm="1">
        <f t="array" ref="F181">INDEX(manual_suppression[manual_suppression],
  1+MOD(QUOTIENT(ROW()-ROW($B$2),
     ROWS(door_open[door_open])*
     ROWS(smoke_seal[smoke_seal])
  ),
  ROWS(manual_suppression[manual_suppression]))
)</f>
        <v>Fail</v>
      </c>
      <c r="G181" t="str" cm="1">
        <f t="array" ref="G181">INDEX(door_open[door_open],
  1+MOD(QUOTIENT(ROW()-ROW($B$2),
     ROWS(smoke_seal[smoke_seal])
  ),
  ROWS(door_open[door_open]))
)</f>
        <v>Closed</v>
      </c>
      <c r="H181" t="str" cm="1">
        <f t="array" ref="H181">INDEX(smoke_seal[smoke_seal],
  1+MOD(ROW()-ROW($B$2), ROWS(smoke_seal[smoke_seal]))
)</f>
        <v>Success</v>
      </c>
      <c r="I181" t="str">
        <f>IF(event_tree[[#This Row],[door_open]]="Open","Open",IF(event_tree[[#This Row],[smoke_seal]]="Success","Close","Part"))</f>
        <v>Close</v>
      </c>
      <c r="J181">
        <f>IF(B181="apartment",Inputs!$I$7,Inputs!$I$6)</f>
        <v>1.2999999999999999E-3</v>
      </c>
      <c r="K181">
        <f>PRODUCT(
  INDEX(fire_location[Probability],MATCH($B181,fire_location[fire_location],0)),
  INDEX(smoke_detection_apt[Probability],MATCH($C181,smoke_detection_apt[smoke_detection_apt],0)),
  INDEX(smoke_detection_corridor[Probability],MATCH($D181,smoke_detection_corridor[smoke_detection_corridor],0)),
  INDEX(sprinkler[Probability],MATCH($E181,sprinkler[sprinkler],0)),
  INDEX(manual_suppression[Probability],MATCH($F181,manual_suppression[manual_suppression],0)),
  INDEX(door_open[Probability],MATCH($G181,door_open[door_open],0)),
  INDEX(smoke_seal[Probability],MATCH($H181,smoke_seal[smoke_seal],0))
)</f>
        <v>3.544905000000003E-5</v>
      </c>
      <c r="L18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K</v>
      </c>
      <c r="M181" t="str">
        <f>event_tree[[#This Row],[ASET_scenario]]&amp;Inputs!$F$8</f>
        <v>K6</v>
      </c>
      <c r="N181">
        <f>IF(OR(event_tree[[#This Row],[sprinkler]]="Extinguish",event_tree[[#This Row],[manual_suppression]]="Suppress"),"extinguish",_xlfn.XLOOKUP(event_tree[[#This Row],[ASET_helper1]],ASET_data[ASET_helper1],ASET_data[apt_ASET]))</f>
        <v>3600</v>
      </c>
      <c r="O181">
        <f>IF(OR(event_tree[[#This Row],[sprinkler]]="Extinguish",event_tree[[#This Row],[manual_suppression]]="Suppress"),"extinguish",_xlfn.XLOOKUP(event_tree[[#This Row],[ASET_helper1]],ASET_data[ASET_helper1],ASET_data[cor_ASET]))</f>
        <v>22</v>
      </c>
      <c r="P181" t="str">
        <f>event_tree[[#This Row],[fire_location]]&amp;Inputs!$F$8</f>
        <v>Corridor6</v>
      </c>
      <c r="Q18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900</v>
      </c>
      <c r="R181">
        <f>IF(event_tree[[#This Row],[fire_location]]="Apartment",Inputs!$F$11,Inputs!$F$12)</f>
        <v>600</v>
      </c>
      <c r="S181">
        <f>10+Inputs!$F$8</f>
        <v>16</v>
      </c>
      <c r="T18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900</v>
      </c>
      <c r="U181">
        <f>IF(event_tree[[#This Row],[fire_location]]="Apartment",Inputs!$F$12,Inputs!$F$11)</f>
        <v>60</v>
      </c>
      <c r="V181">
        <f>10+Inputs!$F$8</f>
        <v>16</v>
      </c>
      <c r="W181">
        <f>30</f>
        <v>30</v>
      </c>
      <c r="X181">
        <f>IF(event_tree[[#This Row],[ASET_scenario]]="X","extinguish",
   event_tree[[#This Row],[SOU_tdet]] + event_tree[[#This Row],[SOU_tpre]] + event_tree[[#This Row],[tnot]])</f>
        <v>1530</v>
      </c>
      <c r="Y181">
        <f>IF(event_tree[[#This Row],[ASET_scenario]]="X","extinguish",
   event_tree[[#This Row],[SOU_inside_RSET]] + event_tree[[#This Row],[SOU_ttrav]])</f>
        <v>1546</v>
      </c>
      <c r="Z181">
        <f>IF(event_tree[[#This Row],[ASET_scenario]]="X","extinguish",
   event_tree[[#This Row],[remote_tdet]] + event_tree[[#This Row],[remote_tpre]] + event_tree[[#This Row],[remote_ttrav]] + event_tree[[#This Row],[tnot]])</f>
        <v>1006</v>
      </c>
      <c r="AA181">
        <f>IF(event_tree[[#This Row],[ASET_scenario]]="X","extinguish", event_tree[[#This Row],[apt_ASET]]/event_tree[[#This Row],[SOU_inside_RSET]])</f>
        <v>2.3529411764705883</v>
      </c>
      <c r="AB181">
        <f>IF(event_tree[[#This Row],[ASET_scenario]]="X","extinguish",event_tree[[#This Row],[cor_ASET]]/event_tree[[#This Row],[SOU_outside_RSET]])</f>
        <v>1.4230271668822769E-2</v>
      </c>
      <c r="AC181">
        <f>IF(event_tree[[#This Row],[ASET_scenario]]="X","extinguish",event_tree[[#This Row],[cor_ASET]]/event_tree[[#This Row],[remote_RSET]])</f>
        <v>2.186878727634195E-2</v>
      </c>
      <c r="AD181">
        <f>IF(OR(event_tree[[#This Row],[SOU_inside_ratio]]&lt;1,event_tree[[#This Row],[SOU_outside_ratio]]&lt;1),2)</f>
        <v>2</v>
      </c>
      <c r="AE181">
        <f>IF(event_tree[[#This Row],[remote_ratio]]&lt;1,2*(Inputs!$F$5-1))</f>
        <v>10</v>
      </c>
      <c r="AF181">
        <f>event_tree[[#This Row],[SOU_casualty]]+event_tree[[#This Row],[remote_casualty]]</f>
        <v>12</v>
      </c>
      <c r="AG181">
        <f>event_tree[[#This Row],[fire_frequency]]*event_tree[[#This Row],[probability_of_scenario]]</f>
        <v>4.6083765000000039E-8</v>
      </c>
      <c r="AH181">
        <f>event_tree[[#This Row],[total_casualty]]*event_tree[[#This Row],[fire_probability]]</f>
        <v>5.5300518000000041E-7</v>
      </c>
    </row>
    <row r="182" spans="1:34" x14ac:dyDescent="0.25">
      <c r="A182">
        <v>181</v>
      </c>
      <c r="B182" t="str" cm="1">
        <f t="array" ref="B18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2" t="str" cm="1">
        <f t="array" ref="C18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2" t="str" cm="1">
        <f t="array" ref="D18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2" t="str" cm="1">
        <f t="array" ref="E182">INDEX(sprinkler[sprinkler],
  1+MOD(QUOTIENT(ROW()-ROW($B$2),
     ROWS(manual_suppression[manual_suppression])*
     ROWS(door_open[door_open])*
     ROWS(smoke_seal[smoke_seal])
  ),
  ROWS(sprinkler[sprinkler]))
)</f>
        <v>Control</v>
      </c>
      <c r="F182" t="str" cm="1">
        <f t="array" ref="F182">INDEX(manual_suppression[manual_suppression],
  1+MOD(QUOTIENT(ROW()-ROW($B$2),
     ROWS(door_open[door_open])*
     ROWS(smoke_seal[smoke_seal])
  ),
  ROWS(manual_suppression[manual_suppression]))
)</f>
        <v>Suppress</v>
      </c>
      <c r="G182" t="str" cm="1">
        <f t="array" ref="G182">INDEX(door_open[door_open],
  1+MOD(QUOTIENT(ROW()-ROW($B$2),
     ROWS(smoke_seal[smoke_seal])
  ),
  ROWS(door_open[door_open]))
)</f>
        <v>Open</v>
      </c>
      <c r="H182" t="str" cm="1">
        <f t="array" ref="H182">INDEX(smoke_seal[smoke_seal],
  1+MOD(ROW()-ROW($B$2), ROWS(smoke_seal[smoke_seal]))
)</f>
        <v>Fail</v>
      </c>
      <c r="I182" t="str">
        <f>IF(event_tree[[#This Row],[door_open]]="Open","Open",IF(event_tree[[#This Row],[smoke_seal]]="Success","Close","Part"))</f>
        <v>Open</v>
      </c>
      <c r="J182">
        <f>IF(B182="apartment",Inputs!$I$7,Inputs!$I$6)</f>
        <v>1.2999999999999999E-3</v>
      </c>
      <c r="K182">
        <f>PRODUCT(
  INDEX(fire_location[Probability],MATCH($B182,fire_location[fire_location],0)),
  INDEX(smoke_detection_apt[Probability],MATCH($C182,smoke_detection_apt[smoke_detection_apt],0)),
  INDEX(smoke_detection_corridor[Probability],MATCH($D182,smoke_detection_corridor[smoke_detection_corridor],0)),
  INDEX(sprinkler[Probability],MATCH($E182,sprinkler[sprinkler],0)),
  INDEX(manual_suppression[Probability],MATCH($F182,manual_suppression[manual_suppression],0)),
  INDEX(door_open[Probability],MATCH($G182,door_open[door_open],0)),
  INDEX(smoke_seal[Probability],MATCH($H182,smoke_seal[smoke_seal],0))
)</f>
        <v>1.5192450000000012E-5</v>
      </c>
      <c r="L18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82" t="str">
        <f>event_tree[[#This Row],[ASET_scenario]]&amp;Inputs!$F$8</f>
        <v>X6</v>
      </c>
      <c r="N18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8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82" t="str">
        <f>event_tree[[#This Row],[fire_location]]&amp;Inputs!$F$8</f>
        <v>Corridor6</v>
      </c>
      <c r="Q18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82">
        <f>IF(event_tree[[#This Row],[fire_location]]="Apartment",Inputs!$F$11,Inputs!$F$12)</f>
        <v>600</v>
      </c>
      <c r="S182">
        <f>10+Inputs!$F$8</f>
        <v>16</v>
      </c>
      <c r="T18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82">
        <f>IF(event_tree[[#This Row],[fire_location]]="Apartment",Inputs!$F$12,Inputs!$F$11)</f>
        <v>60</v>
      </c>
      <c r="V182">
        <f>10+Inputs!$F$8</f>
        <v>16</v>
      </c>
      <c r="W182">
        <f>30</f>
        <v>30</v>
      </c>
      <c r="X182" t="str">
        <f>IF(event_tree[[#This Row],[ASET_scenario]]="X","extinguish",
   event_tree[[#This Row],[SOU_tdet]] + event_tree[[#This Row],[SOU_tpre]] + event_tree[[#This Row],[tnot]])</f>
        <v>extinguish</v>
      </c>
      <c r="Y182" t="str">
        <f>IF(event_tree[[#This Row],[ASET_scenario]]="X","extinguish",
   event_tree[[#This Row],[SOU_inside_RSET]] + event_tree[[#This Row],[SOU_ttrav]])</f>
        <v>extinguish</v>
      </c>
      <c r="Z18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82" t="str">
        <f>IF(event_tree[[#This Row],[ASET_scenario]]="X","extinguish", event_tree[[#This Row],[apt_ASET]]/event_tree[[#This Row],[SOU_inside_RSET]])</f>
        <v>extinguish</v>
      </c>
      <c r="AB182" t="str">
        <f>IF(event_tree[[#This Row],[ASET_scenario]]="X","extinguish",event_tree[[#This Row],[cor_ASET]]/event_tree[[#This Row],[SOU_outside_RSET]])</f>
        <v>extinguish</v>
      </c>
      <c r="AC182" t="str">
        <f>IF(event_tree[[#This Row],[ASET_scenario]]="X","extinguish",event_tree[[#This Row],[cor_ASET]]/event_tree[[#This Row],[remote_RSET]])</f>
        <v>extinguish</v>
      </c>
      <c r="AD182" t="b">
        <f>IF(OR(event_tree[[#This Row],[SOU_inside_ratio]]&lt;1,event_tree[[#This Row],[SOU_outside_ratio]]&lt;1),2)</f>
        <v>0</v>
      </c>
      <c r="AE182" t="b">
        <f>IF(event_tree[[#This Row],[remote_ratio]]&lt;1,2*(Inputs!$F$5-1))</f>
        <v>0</v>
      </c>
      <c r="AF182">
        <f>event_tree[[#This Row],[SOU_casualty]]+event_tree[[#This Row],[remote_casualty]]</f>
        <v>0</v>
      </c>
      <c r="AG182">
        <f>event_tree[[#This Row],[fire_frequency]]*event_tree[[#This Row],[probability_of_scenario]]</f>
        <v>1.9750185000000014E-8</v>
      </c>
      <c r="AH182">
        <f>event_tree[[#This Row],[total_casualty]]*event_tree[[#This Row],[fire_probability]]</f>
        <v>0</v>
      </c>
    </row>
    <row r="183" spans="1:34" x14ac:dyDescent="0.25">
      <c r="A183">
        <v>182</v>
      </c>
      <c r="B183" t="str" cm="1">
        <f t="array" ref="B18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3" t="str" cm="1">
        <f t="array" ref="C18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3" t="str" cm="1">
        <f t="array" ref="D18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3" t="str" cm="1">
        <f t="array" ref="E183">INDEX(sprinkler[sprinkler],
  1+MOD(QUOTIENT(ROW()-ROW($B$2),
     ROWS(manual_suppression[manual_suppression])*
     ROWS(door_open[door_open])*
     ROWS(smoke_seal[smoke_seal])
  ),
  ROWS(sprinkler[sprinkler]))
)</f>
        <v>Control</v>
      </c>
      <c r="F183" t="str" cm="1">
        <f t="array" ref="F183">INDEX(manual_suppression[manual_suppression],
  1+MOD(QUOTIENT(ROW()-ROW($B$2),
     ROWS(door_open[door_open])*
     ROWS(smoke_seal[smoke_seal])
  ),
  ROWS(manual_suppression[manual_suppression]))
)</f>
        <v>Suppress</v>
      </c>
      <c r="G183" t="str" cm="1">
        <f t="array" ref="G183">INDEX(door_open[door_open],
  1+MOD(QUOTIENT(ROW()-ROW($B$2),
     ROWS(smoke_seal[smoke_seal])
  ),
  ROWS(door_open[door_open]))
)</f>
        <v>Open</v>
      </c>
      <c r="H183" t="str" cm="1">
        <f t="array" ref="H183">INDEX(smoke_seal[smoke_seal],
  1+MOD(ROW()-ROW($B$2), ROWS(smoke_seal[smoke_seal]))
)</f>
        <v>Success</v>
      </c>
      <c r="I183" t="str">
        <f>IF(event_tree[[#This Row],[door_open]]="Open","Open",IF(event_tree[[#This Row],[smoke_seal]]="Success","Close","Part"))</f>
        <v>Open</v>
      </c>
      <c r="J183">
        <f>IF(B183="apartment",Inputs!$I$7,Inputs!$I$6)</f>
        <v>1.2999999999999999E-3</v>
      </c>
      <c r="K183">
        <f>PRODUCT(
  INDEX(fire_location[Probability],MATCH($B183,fire_location[fire_location],0)),
  INDEX(smoke_detection_apt[Probability],MATCH($C183,smoke_detection_apt[smoke_detection_apt],0)),
  INDEX(smoke_detection_corridor[Probability],MATCH($D183,smoke_detection_corridor[smoke_detection_corridor],0)),
  INDEX(sprinkler[Probability],MATCH($E183,sprinkler[sprinkler],0)),
  INDEX(manual_suppression[Probability],MATCH($F183,manual_suppression[manual_suppression],0)),
  INDEX(door_open[Probability],MATCH($G183,door_open[door_open],0)),
  INDEX(smoke_seal[Probability],MATCH($H183,smoke_seal[smoke_seal],0))
)</f>
        <v>2.8214550000000026E-5</v>
      </c>
      <c r="L18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83" t="str">
        <f>event_tree[[#This Row],[ASET_scenario]]&amp;Inputs!$F$8</f>
        <v>X6</v>
      </c>
      <c r="N18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8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83" t="str">
        <f>event_tree[[#This Row],[fire_location]]&amp;Inputs!$F$8</f>
        <v>Corridor6</v>
      </c>
      <c r="Q18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83">
        <f>IF(event_tree[[#This Row],[fire_location]]="Apartment",Inputs!$F$11,Inputs!$F$12)</f>
        <v>600</v>
      </c>
      <c r="S183">
        <f>10+Inputs!$F$8</f>
        <v>16</v>
      </c>
      <c r="T18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83">
        <f>IF(event_tree[[#This Row],[fire_location]]="Apartment",Inputs!$F$12,Inputs!$F$11)</f>
        <v>60</v>
      </c>
      <c r="V183">
        <f>10+Inputs!$F$8</f>
        <v>16</v>
      </c>
      <c r="W183">
        <f>30</f>
        <v>30</v>
      </c>
      <c r="X183" t="str">
        <f>IF(event_tree[[#This Row],[ASET_scenario]]="X","extinguish",
   event_tree[[#This Row],[SOU_tdet]] + event_tree[[#This Row],[SOU_tpre]] + event_tree[[#This Row],[tnot]])</f>
        <v>extinguish</v>
      </c>
      <c r="Y183" t="str">
        <f>IF(event_tree[[#This Row],[ASET_scenario]]="X","extinguish",
   event_tree[[#This Row],[SOU_inside_RSET]] + event_tree[[#This Row],[SOU_ttrav]])</f>
        <v>extinguish</v>
      </c>
      <c r="Z18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83" t="str">
        <f>IF(event_tree[[#This Row],[ASET_scenario]]="X","extinguish", event_tree[[#This Row],[apt_ASET]]/event_tree[[#This Row],[SOU_inside_RSET]])</f>
        <v>extinguish</v>
      </c>
      <c r="AB183" t="str">
        <f>IF(event_tree[[#This Row],[ASET_scenario]]="X","extinguish",event_tree[[#This Row],[cor_ASET]]/event_tree[[#This Row],[SOU_outside_RSET]])</f>
        <v>extinguish</v>
      </c>
      <c r="AC183" t="str">
        <f>IF(event_tree[[#This Row],[ASET_scenario]]="X","extinguish",event_tree[[#This Row],[cor_ASET]]/event_tree[[#This Row],[remote_RSET]])</f>
        <v>extinguish</v>
      </c>
      <c r="AD183" t="b">
        <f>IF(OR(event_tree[[#This Row],[SOU_inside_ratio]]&lt;1,event_tree[[#This Row],[SOU_outside_ratio]]&lt;1),2)</f>
        <v>0</v>
      </c>
      <c r="AE183" t="b">
        <f>IF(event_tree[[#This Row],[remote_ratio]]&lt;1,2*(Inputs!$F$5-1))</f>
        <v>0</v>
      </c>
      <c r="AF183">
        <f>event_tree[[#This Row],[SOU_casualty]]+event_tree[[#This Row],[remote_casualty]]</f>
        <v>0</v>
      </c>
      <c r="AG183">
        <f>event_tree[[#This Row],[fire_frequency]]*event_tree[[#This Row],[probability_of_scenario]]</f>
        <v>3.667891500000003E-8</v>
      </c>
      <c r="AH183">
        <f>event_tree[[#This Row],[total_casualty]]*event_tree[[#This Row],[fire_probability]]</f>
        <v>0</v>
      </c>
    </row>
    <row r="184" spans="1:34" x14ac:dyDescent="0.25">
      <c r="A184">
        <v>183</v>
      </c>
      <c r="B184" t="str" cm="1">
        <f t="array" ref="B184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4" t="str" cm="1">
        <f t="array" ref="C184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4" t="str" cm="1">
        <f t="array" ref="D184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4" t="str" cm="1">
        <f t="array" ref="E184">INDEX(sprinkler[sprinkler],
  1+MOD(QUOTIENT(ROW()-ROW($B$2),
     ROWS(manual_suppression[manual_suppression])*
     ROWS(door_open[door_open])*
     ROWS(smoke_seal[smoke_seal])
  ),
  ROWS(sprinkler[sprinkler]))
)</f>
        <v>Control</v>
      </c>
      <c r="F184" t="str" cm="1">
        <f t="array" ref="F184">INDEX(manual_suppression[manual_suppression],
  1+MOD(QUOTIENT(ROW()-ROW($B$2),
     ROWS(door_open[door_open])*
     ROWS(smoke_seal[smoke_seal])
  ),
  ROWS(manual_suppression[manual_suppression]))
)</f>
        <v>Suppress</v>
      </c>
      <c r="G184" t="str" cm="1">
        <f t="array" ref="G184">INDEX(door_open[door_open],
  1+MOD(QUOTIENT(ROW()-ROW($B$2),
     ROWS(smoke_seal[smoke_seal])
  ),
  ROWS(door_open[door_open]))
)</f>
        <v>Closed</v>
      </c>
      <c r="H184" t="str" cm="1">
        <f t="array" ref="H184">INDEX(smoke_seal[smoke_seal],
  1+MOD(ROW()-ROW($B$2), ROWS(smoke_seal[smoke_seal]))
)</f>
        <v>Fail</v>
      </c>
      <c r="I184" t="str">
        <f>IF(event_tree[[#This Row],[door_open]]="Open","Open",IF(event_tree[[#This Row],[smoke_seal]]="Success","Close","Part"))</f>
        <v>Part</v>
      </c>
      <c r="J184">
        <f>IF(B184="apartment",Inputs!$I$7,Inputs!$I$6)</f>
        <v>1.2999999999999999E-3</v>
      </c>
      <c r="K184">
        <f>PRODUCT(
  INDEX(fire_location[Probability],MATCH($B184,fire_location[fire_location],0)),
  INDEX(smoke_detection_apt[Probability],MATCH($C184,smoke_detection_apt[smoke_detection_apt],0)),
  INDEX(smoke_detection_corridor[Probability],MATCH($D184,smoke_detection_corridor[smoke_detection_corridor],0)),
  INDEX(sprinkler[Probability],MATCH($E184,sprinkler[sprinkler],0)),
  INDEX(manual_suppression[Probability],MATCH($F184,manual_suppression[manual_suppression],0)),
  INDEX(door_open[Probability],MATCH($G184,door_open[door_open],0)),
  INDEX(smoke_seal[Probability],MATCH($H184,smoke_seal[smoke_seal],0))
)</f>
        <v>3.544905000000003E-5</v>
      </c>
      <c r="L184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84" t="str">
        <f>event_tree[[#This Row],[ASET_scenario]]&amp;Inputs!$F$8</f>
        <v>X6</v>
      </c>
      <c r="N184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84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84" t="str">
        <f>event_tree[[#This Row],[fire_location]]&amp;Inputs!$F$8</f>
        <v>Corridor6</v>
      </c>
      <c r="Q184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84">
        <f>IF(event_tree[[#This Row],[fire_location]]="Apartment",Inputs!$F$11,Inputs!$F$12)</f>
        <v>600</v>
      </c>
      <c r="S184">
        <f>10+Inputs!$F$8</f>
        <v>16</v>
      </c>
      <c r="T184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84">
        <f>IF(event_tree[[#This Row],[fire_location]]="Apartment",Inputs!$F$12,Inputs!$F$11)</f>
        <v>60</v>
      </c>
      <c r="V184">
        <f>10+Inputs!$F$8</f>
        <v>16</v>
      </c>
      <c r="W184">
        <f>30</f>
        <v>30</v>
      </c>
      <c r="X184" t="str">
        <f>IF(event_tree[[#This Row],[ASET_scenario]]="X","extinguish",
   event_tree[[#This Row],[SOU_tdet]] + event_tree[[#This Row],[SOU_tpre]] + event_tree[[#This Row],[tnot]])</f>
        <v>extinguish</v>
      </c>
      <c r="Y184" t="str">
        <f>IF(event_tree[[#This Row],[ASET_scenario]]="X","extinguish",
   event_tree[[#This Row],[SOU_inside_RSET]] + event_tree[[#This Row],[SOU_ttrav]])</f>
        <v>extinguish</v>
      </c>
      <c r="Z184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84" t="str">
        <f>IF(event_tree[[#This Row],[ASET_scenario]]="X","extinguish", event_tree[[#This Row],[apt_ASET]]/event_tree[[#This Row],[SOU_inside_RSET]])</f>
        <v>extinguish</v>
      </c>
      <c r="AB184" t="str">
        <f>IF(event_tree[[#This Row],[ASET_scenario]]="X","extinguish",event_tree[[#This Row],[cor_ASET]]/event_tree[[#This Row],[SOU_outside_RSET]])</f>
        <v>extinguish</v>
      </c>
      <c r="AC184" t="str">
        <f>IF(event_tree[[#This Row],[ASET_scenario]]="X","extinguish",event_tree[[#This Row],[cor_ASET]]/event_tree[[#This Row],[remote_RSET]])</f>
        <v>extinguish</v>
      </c>
      <c r="AD184" t="b">
        <f>IF(OR(event_tree[[#This Row],[SOU_inside_ratio]]&lt;1,event_tree[[#This Row],[SOU_outside_ratio]]&lt;1),2)</f>
        <v>0</v>
      </c>
      <c r="AE184" t="b">
        <f>IF(event_tree[[#This Row],[remote_ratio]]&lt;1,2*(Inputs!$F$5-1))</f>
        <v>0</v>
      </c>
      <c r="AF184">
        <f>event_tree[[#This Row],[SOU_casualty]]+event_tree[[#This Row],[remote_casualty]]</f>
        <v>0</v>
      </c>
      <c r="AG184">
        <f>event_tree[[#This Row],[fire_frequency]]*event_tree[[#This Row],[probability_of_scenario]]</f>
        <v>4.6083765000000039E-8</v>
      </c>
      <c r="AH184">
        <f>event_tree[[#This Row],[total_casualty]]*event_tree[[#This Row],[fire_probability]]</f>
        <v>0</v>
      </c>
    </row>
    <row r="185" spans="1:34" x14ac:dyDescent="0.25">
      <c r="A185">
        <v>184</v>
      </c>
      <c r="B185" t="str" cm="1">
        <f t="array" ref="B185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5" t="str" cm="1">
        <f t="array" ref="C185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5" t="str" cm="1">
        <f t="array" ref="D185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5" t="str" cm="1">
        <f t="array" ref="E185">INDEX(sprinkler[sprinkler],
  1+MOD(QUOTIENT(ROW()-ROW($B$2),
     ROWS(manual_suppression[manual_suppression])*
     ROWS(door_open[door_open])*
     ROWS(smoke_seal[smoke_seal])
  ),
  ROWS(sprinkler[sprinkler]))
)</f>
        <v>Control</v>
      </c>
      <c r="F185" t="str" cm="1">
        <f t="array" ref="F185">INDEX(manual_suppression[manual_suppression],
  1+MOD(QUOTIENT(ROW()-ROW($B$2),
     ROWS(door_open[door_open])*
     ROWS(smoke_seal[smoke_seal])
  ),
  ROWS(manual_suppression[manual_suppression]))
)</f>
        <v>Suppress</v>
      </c>
      <c r="G185" t="str" cm="1">
        <f t="array" ref="G185">INDEX(door_open[door_open],
  1+MOD(QUOTIENT(ROW()-ROW($B$2),
     ROWS(smoke_seal[smoke_seal])
  ),
  ROWS(door_open[door_open]))
)</f>
        <v>Closed</v>
      </c>
      <c r="H185" t="str" cm="1">
        <f t="array" ref="H185">INDEX(smoke_seal[smoke_seal],
  1+MOD(ROW()-ROW($B$2), ROWS(smoke_seal[smoke_seal]))
)</f>
        <v>Success</v>
      </c>
      <c r="I185" t="str">
        <f>IF(event_tree[[#This Row],[door_open]]="Open","Open",IF(event_tree[[#This Row],[smoke_seal]]="Success","Close","Part"))</f>
        <v>Close</v>
      </c>
      <c r="J185">
        <f>IF(B185="apartment",Inputs!$I$7,Inputs!$I$6)</f>
        <v>1.2999999999999999E-3</v>
      </c>
      <c r="K185">
        <f>PRODUCT(
  INDEX(fire_location[Probability],MATCH($B185,fire_location[fire_location],0)),
  INDEX(smoke_detection_apt[Probability],MATCH($C185,smoke_detection_apt[smoke_detection_apt],0)),
  INDEX(smoke_detection_corridor[Probability],MATCH($D185,smoke_detection_corridor[smoke_detection_corridor],0)),
  INDEX(sprinkler[Probability],MATCH($E185,sprinkler[sprinkler],0)),
  INDEX(manual_suppression[Probability],MATCH($F185,manual_suppression[manual_suppression],0)),
  INDEX(door_open[Probability],MATCH($G185,door_open[door_open],0)),
  INDEX(smoke_seal[Probability],MATCH($H185,smoke_seal[smoke_seal],0))
)</f>
        <v>6.5833950000000058E-5</v>
      </c>
      <c r="L185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85" t="str">
        <f>event_tree[[#This Row],[ASET_scenario]]&amp;Inputs!$F$8</f>
        <v>X6</v>
      </c>
      <c r="N185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85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85" t="str">
        <f>event_tree[[#This Row],[fire_location]]&amp;Inputs!$F$8</f>
        <v>Corridor6</v>
      </c>
      <c r="Q185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85">
        <f>IF(event_tree[[#This Row],[fire_location]]="Apartment",Inputs!$F$11,Inputs!$F$12)</f>
        <v>600</v>
      </c>
      <c r="S185">
        <f>10+Inputs!$F$8</f>
        <v>16</v>
      </c>
      <c r="T185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85">
        <f>IF(event_tree[[#This Row],[fire_location]]="Apartment",Inputs!$F$12,Inputs!$F$11)</f>
        <v>60</v>
      </c>
      <c r="V185">
        <f>10+Inputs!$F$8</f>
        <v>16</v>
      </c>
      <c r="W185">
        <f>30</f>
        <v>30</v>
      </c>
      <c r="X185" t="str">
        <f>IF(event_tree[[#This Row],[ASET_scenario]]="X","extinguish",
   event_tree[[#This Row],[SOU_tdet]] + event_tree[[#This Row],[SOU_tpre]] + event_tree[[#This Row],[tnot]])</f>
        <v>extinguish</v>
      </c>
      <c r="Y185" t="str">
        <f>IF(event_tree[[#This Row],[ASET_scenario]]="X","extinguish",
   event_tree[[#This Row],[SOU_inside_RSET]] + event_tree[[#This Row],[SOU_ttrav]])</f>
        <v>extinguish</v>
      </c>
      <c r="Z185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85" t="str">
        <f>IF(event_tree[[#This Row],[ASET_scenario]]="X","extinguish", event_tree[[#This Row],[apt_ASET]]/event_tree[[#This Row],[SOU_inside_RSET]])</f>
        <v>extinguish</v>
      </c>
      <c r="AB185" t="str">
        <f>IF(event_tree[[#This Row],[ASET_scenario]]="X","extinguish",event_tree[[#This Row],[cor_ASET]]/event_tree[[#This Row],[SOU_outside_RSET]])</f>
        <v>extinguish</v>
      </c>
      <c r="AC185" t="str">
        <f>IF(event_tree[[#This Row],[ASET_scenario]]="X","extinguish",event_tree[[#This Row],[cor_ASET]]/event_tree[[#This Row],[remote_RSET]])</f>
        <v>extinguish</v>
      </c>
      <c r="AD185" t="b">
        <f>IF(OR(event_tree[[#This Row],[SOU_inside_ratio]]&lt;1,event_tree[[#This Row],[SOU_outside_ratio]]&lt;1),2)</f>
        <v>0</v>
      </c>
      <c r="AE185" t="b">
        <f>IF(event_tree[[#This Row],[remote_ratio]]&lt;1,2*(Inputs!$F$5-1))</f>
        <v>0</v>
      </c>
      <c r="AF185">
        <f>event_tree[[#This Row],[SOU_casualty]]+event_tree[[#This Row],[remote_casualty]]</f>
        <v>0</v>
      </c>
      <c r="AG185">
        <f>event_tree[[#This Row],[fire_frequency]]*event_tree[[#This Row],[probability_of_scenario]]</f>
        <v>8.5584135000000073E-8</v>
      </c>
      <c r="AH185">
        <f>event_tree[[#This Row],[total_casualty]]*event_tree[[#This Row],[fire_probability]]</f>
        <v>0</v>
      </c>
    </row>
    <row r="186" spans="1:34" x14ac:dyDescent="0.25">
      <c r="A186">
        <v>185</v>
      </c>
      <c r="B186" t="str" cm="1">
        <f t="array" ref="B186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6" t="str" cm="1">
        <f t="array" ref="C186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6" t="str" cm="1">
        <f t="array" ref="D186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6" t="str" cm="1">
        <f t="array" ref="E186">INDEX(sprinkler[sprinkler],
  1+MOD(QUOTIENT(ROW()-ROW($B$2),
     ROWS(manual_suppression[manual_suppression])*
     ROWS(door_open[door_open])*
     ROWS(smoke_seal[smoke_seal])
  ),
  ROWS(sprinkler[sprinkler]))
)</f>
        <v>Extinguish</v>
      </c>
      <c r="F186" t="str" cm="1">
        <f t="array" ref="F186">INDEX(manual_suppression[manual_suppression],
  1+MOD(QUOTIENT(ROW()-ROW($B$2),
     ROWS(door_open[door_open])*
     ROWS(smoke_seal[smoke_seal])
  ),
  ROWS(manual_suppression[manual_suppression]))
)</f>
        <v>Fail</v>
      </c>
      <c r="G186" t="str" cm="1">
        <f t="array" ref="G186">INDEX(door_open[door_open],
  1+MOD(QUOTIENT(ROW()-ROW($B$2),
     ROWS(smoke_seal[smoke_seal])
  ),
  ROWS(door_open[door_open]))
)</f>
        <v>Open</v>
      </c>
      <c r="H186" t="str" cm="1">
        <f t="array" ref="H186">INDEX(smoke_seal[smoke_seal],
  1+MOD(ROW()-ROW($B$2), ROWS(smoke_seal[smoke_seal]))
)</f>
        <v>Fail</v>
      </c>
      <c r="I186" t="str">
        <f>IF(event_tree[[#This Row],[door_open]]="Open","Open",IF(event_tree[[#This Row],[smoke_seal]]="Success","Close","Part"))</f>
        <v>Open</v>
      </c>
      <c r="J186">
        <f>IF(B186="apartment",Inputs!$I$7,Inputs!$I$6)</f>
        <v>1.2999999999999999E-3</v>
      </c>
      <c r="K186">
        <f>PRODUCT(
  INDEX(fire_location[Probability],MATCH($B186,fire_location[fire_location],0)),
  INDEX(smoke_detection_apt[Probability],MATCH($C186,smoke_detection_apt[smoke_detection_apt],0)),
  INDEX(smoke_detection_corridor[Probability],MATCH($D186,smoke_detection_corridor[smoke_detection_corridor],0)),
  INDEX(sprinkler[Probability],MATCH($E186,sprinkler[sprinkler],0)),
  INDEX(manual_suppression[Probability],MATCH($F186,manual_suppression[manual_suppression],0)),
  INDEX(door_open[Probability],MATCH($G186,door_open[door_open],0)),
  INDEX(smoke_seal[Probability],MATCH($H186,smoke_seal[smoke_seal],0))
)</f>
        <v>9.349200000000007E-6</v>
      </c>
      <c r="L186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86" t="str">
        <f>event_tree[[#This Row],[ASET_scenario]]&amp;Inputs!$F$8</f>
        <v>X6</v>
      </c>
      <c r="N186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86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86" t="str">
        <f>event_tree[[#This Row],[fire_location]]&amp;Inputs!$F$8</f>
        <v>Corridor6</v>
      </c>
      <c r="Q186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86">
        <f>IF(event_tree[[#This Row],[fire_location]]="Apartment",Inputs!$F$11,Inputs!$F$12)</f>
        <v>600</v>
      </c>
      <c r="S186">
        <f>10+Inputs!$F$8</f>
        <v>16</v>
      </c>
      <c r="T186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86">
        <f>IF(event_tree[[#This Row],[fire_location]]="Apartment",Inputs!$F$12,Inputs!$F$11)</f>
        <v>60</v>
      </c>
      <c r="V186">
        <f>10+Inputs!$F$8</f>
        <v>16</v>
      </c>
      <c r="W186">
        <f>30</f>
        <v>30</v>
      </c>
      <c r="X186" t="str">
        <f>IF(event_tree[[#This Row],[ASET_scenario]]="X","extinguish",
   event_tree[[#This Row],[SOU_tdet]] + event_tree[[#This Row],[SOU_tpre]] + event_tree[[#This Row],[tnot]])</f>
        <v>extinguish</v>
      </c>
      <c r="Y186" t="str">
        <f>IF(event_tree[[#This Row],[ASET_scenario]]="X","extinguish",
   event_tree[[#This Row],[SOU_inside_RSET]] + event_tree[[#This Row],[SOU_ttrav]])</f>
        <v>extinguish</v>
      </c>
      <c r="Z186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86" t="str">
        <f>IF(event_tree[[#This Row],[ASET_scenario]]="X","extinguish", event_tree[[#This Row],[apt_ASET]]/event_tree[[#This Row],[SOU_inside_RSET]])</f>
        <v>extinguish</v>
      </c>
      <c r="AB186" t="str">
        <f>IF(event_tree[[#This Row],[ASET_scenario]]="X","extinguish",event_tree[[#This Row],[cor_ASET]]/event_tree[[#This Row],[SOU_outside_RSET]])</f>
        <v>extinguish</v>
      </c>
      <c r="AC186" t="str">
        <f>IF(event_tree[[#This Row],[ASET_scenario]]="X","extinguish",event_tree[[#This Row],[cor_ASET]]/event_tree[[#This Row],[remote_RSET]])</f>
        <v>extinguish</v>
      </c>
      <c r="AD186" t="b">
        <f>IF(OR(event_tree[[#This Row],[SOU_inside_ratio]]&lt;1,event_tree[[#This Row],[SOU_outside_ratio]]&lt;1),2)</f>
        <v>0</v>
      </c>
      <c r="AE186" t="b">
        <f>IF(event_tree[[#This Row],[remote_ratio]]&lt;1,2*(Inputs!$F$5-1))</f>
        <v>0</v>
      </c>
      <c r="AF186">
        <f>event_tree[[#This Row],[SOU_casualty]]+event_tree[[#This Row],[remote_casualty]]</f>
        <v>0</v>
      </c>
      <c r="AG186">
        <f>event_tree[[#This Row],[fire_frequency]]*event_tree[[#This Row],[probability_of_scenario]]</f>
        <v>1.2153960000000008E-8</v>
      </c>
      <c r="AH186">
        <f>event_tree[[#This Row],[total_casualty]]*event_tree[[#This Row],[fire_probability]]</f>
        <v>0</v>
      </c>
    </row>
    <row r="187" spans="1:34" x14ac:dyDescent="0.25">
      <c r="A187">
        <v>186</v>
      </c>
      <c r="B187" t="str" cm="1">
        <f t="array" ref="B187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7" t="str" cm="1">
        <f t="array" ref="C187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7" t="str" cm="1">
        <f t="array" ref="D187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7" t="str" cm="1">
        <f t="array" ref="E187">INDEX(sprinkler[sprinkler],
  1+MOD(QUOTIENT(ROW()-ROW($B$2),
     ROWS(manual_suppression[manual_suppression])*
     ROWS(door_open[door_open])*
     ROWS(smoke_seal[smoke_seal])
  ),
  ROWS(sprinkler[sprinkler]))
)</f>
        <v>Extinguish</v>
      </c>
      <c r="F187" t="str" cm="1">
        <f t="array" ref="F187">INDEX(manual_suppression[manual_suppression],
  1+MOD(QUOTIENT(ROW()-ROW($B$2),
     ROWS(door_open[door_open])*
     ROWS(smoke_seal[smoke_seal])
  ),
  ROWS(manual_suppression[manual_suppression]))
)</f>
        <v>Fail</v>
      </c>
      <c r="G187" t="str" cm="1">
        <f t="array" ref="G187">INDEX(door_open[door_open],
  1+MOD(QUOTIENT(ROW()-ROW($B$2),
     ROWS(smoke_seal[smoke_seal])
  ),
  ROWS(door_open[door_open]))
)</f>
        <v>Open</v>
      </c>
      <c r="H187" t="str" cm="1">
        <f t="array" ref="H187">INDEX(smoke_seal[smoke_seal],
  1+MOD(ROW()-ROW($B$2), ROWS(smoke_seal[smoke_seal]))
)</f>
        <v>Success</v>
      </c>
      <c r="I187" t="str">
        <f>IF(event_tree[[#This Row],[door_open]]="Open","Open",IF(event_tree[[#This Row],[smoke_seal]]="Success","Close","Part"))</f>
        <v>Open</v>
      </c>
      <c r="J187">
        <f>IF(B187="apartment",Inputs!$I$7,Inputs!$I$6)</f>
        <v>1.2999999999999999E-3</v>
      </c>
      <c r="K187">
        <f>PRODUCT(
  INDEX(fire_location[Probability],MATCH($B187,fire_location[fire_location],0)),
  INDEX(smoke_detection_apt[Probability],MATCH($C187,smoke_detection_apt[smoke_detection_apt],0)),
  INDEX(smoke_detection_corridor[Probability],MATCH($D187,smoke_detection_corridor[smoke_detection_corridor],0)),
  INDEX(sprinkler[Probability],MATCH($E187,sprinkler[sprinkler],0)),
  INDEX(manual_suppression[Probability],MATCH($F187,manual_suppression[manual_suppression],0)),
  INDEX(door_open[Probability],MATCH($G187,door_open[door_open],0)),
  INDEX(smoke_seal[Probability],MATCH($H187,smoke_seal[smoke_seal],0))
)</f>
        <v>1.7362800000000016E-5</v>
      </c>
      <c r="L187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87" t="str">
        <f>event_tree[[#This Row],[ASET_scenario]]&amp;Inputs!$F$8</f>
        <v>X6</v>
      </c>
      <c r="N187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87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87" t="str">
        <f>event_tree[[#This Row],[fire_location]]&amp;Inputs!$F$8</f>
        <v>Corridor6</v>
      </c>
      <c r="Q187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87">
        <f>IF(event_tree[[#This Row],[fire_location]]="Apartment",Inputs!$F$11,Inputs!$F$12)</f>
        <v>600</v>
      </c>
      <c r="S187">
        <f>10+Inputs!$F$8</f>
        <v>16</v>
      </c>
      <c r="T187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87">
        <f>IF(event_tree[[#This Row],[fire_location]]="Apartment",Inputs!$F$12,Inputs!$F$11)</f>
        <v>60</v>
      </c>
      <c r="V187">
        <f>10+Inputs!$F$8</f>
        <v>16</v>
      </c>
      <c r="W187">
        <f>30</f>
        <v>30</v>
      </c>
      <c r="X187" t="str">
        <f>IF(event_tree[[#This Row],[ASET_scenario]]="X","extinguish",
   event_tree[[#This Row],[SOU_tdet]] + event_tree[[#This Row],[SOU_tpre]] + event_tree[[#This Row],[tnot]])</f>
        <v>extinguish</v>
      </c>
      <c r="Y187" t="str">
        <f>IF(event_tree[[#This Row],[ASET_scenario]]="X","extinguish",
   event_tree[[#This Row],[SOU_inside_RSET]] + event_tree[[#This Row],[SOU_ttrav]])</f>
        <v>extinguish</v>
      </c>
      <c r="Z187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87" t="str">
        <f>IF(event_tree[[#This Row],[ASET_scenario]]="X","extinguish", event_tree[[#This Row],[apt_ASET]]/event_tree[[#This Row],[SOU_inside_RSET]])</f>
        <v>extinguish</v>
      </c>
      <c r="AB187" t="str">
        <f>IF(event_tree[[#This Row],[ASET_scenario]]="X","extinguish",event_tree[[#This Row],[cor_ASET]]/event_tree[[#This Row],[SOU_outside_RSET]])</f>
        <v>extinguish</v>
      </c>
      <c r="AC187" t="str">
        <f>IF(event_tree[[#This Row],[ASET_scenario]]="X","extinguish",event_tree[[#This Row],[cor_ASET]]/event_tree[[#This Row],[remote_RSET]])</f>
        <v>extinguish</v>
      </c>
      <c r="AD187" t="b">
        <f>IF(OR(event_tree[[#This Row],[SOU_inside_ratio]]&lt;1,event_tree[[#This Row],[SOU_outside_ratio]]&lt;1),2)</f>
        <v>0</v>
      </c>
      <c r="AE187" t="b">
        <f>IF(event_tree[[#This Row],[remote_ratio]]&lt;1,2*(Inputs!$F$5-1))</f>
        <v>0</v>
      </c>
      <c r="AF187">
        <f>event_tree[[#This Row],[SOU_casualty]]+event_tree[[#This Row],[remote_casualty]]</f>
        <v>0</v>
      </c>
      <c r="AG187">
        <f>event_tree[[#This Row],[fire_frequency]]*event_tree[[#This Row],[probability_of_scenario]]</f>
        <v>2.2571640000000019E-8</v>
      </c>
      <c r="AH187">
        <f>event_tree[[#This Row],[total_casualty]]*event_tree[[#This Row],[fire_probability]]</f>
        <v>0</v>
      </c>
    </row>
    <row r="188" spans="1:34" x14ac:dyDescent="0.25">
      <c r="A188">
        <v>187</v>
      </c>
      <c r="B188" t="str" cm="1">
        <f t="array" ref="B188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8" t="str" cm="1">
        <f t="array" ref="C188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8" t="str" cm="1">
        <f t="array" ref="D188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8" t="str" cm="1">
        <f t="array" ref="E188">INDEX(sprinkler[sprinkler],
  1+MOD(QUOTIENT(ROW()-ROW($B$2),
     ROWS(manual_suppression[manual_suppression])*
     ROWS(door_open[door_open])*
     ROWS(smoke_seal[smoke_seal])
  ),
  ROWS(sprinkler[sprinkler]))
)</f>
        <v>Extinguish</v>
      </c>
      <c r="F188" t="str" cm="1">
        <f t="array" ref="F188">INDEX(manual_suppression[manual_suppression],
  1+MOD(QUOTIENT(ROW()-ROW($B$2),
     ROWS(door_open[door_open])*
     ROWS(smoke_seal[smoke_seal])
  ),
  ROWS(manual_suppression[manual_suppression]))
)</f>
        <v>Fail</v>
      </c>
      <c r="G188" t="str" cm="1">
        <f t="array" ref="G188">INDEX(door_open[door_open],
  1+MOD(QUOTIENT(ROW()-ROW($B$2),
     ROWS(smoke_seal[smoke_seal])
  ),
  ROWS(door_open[door_open]))
)</f>
        <v>Closed</v>
      </c>
      <c r="H188" t="str" cm="1">
        <f t="array" ref="H188">INDEX(smoke_seal[smoke_seal],
  1+MOD(ROW()-ROW($B$2), ROWS(smoke_seal[smoke_seal]))
)</f>
        <v>Fail</v>
      </c>
      <c r="I188" t="str">
        <f>IF(event_tree[[#This Row],[door_open]]="Open","Open",IF(event_tree[[#This Row],[smoke_seal]]="Success","Close","Part"))</f>
        <v>Part</v>
      </c>
      <c r="J188">
        <f>IF(B188="apartment",Inputs!$I$7,Inputs!$I$6)</f>
        <v>1.2999999999999999E-3</v>
      </c>
      <c r="K188">
        <f>PRODUCT(
  INDEX(fire_location[Probability],MATCH($B188,fire_location[fire_location],0)),
  INDEX(smoke_detection_apt[Probability],MATCH($C188,smoke_detection_apt[smoke_detection_apt],0)),
  INDEX(smoke_detection_corridor[Probability],MATCH($D188,smoke_detection_corridor[smoke_detection_corridor],0)),
  INDEX(sprinkler[Probability],MATCH($E188,sprinkler[sprinkler],0)),
  INDEX(manual_suppression[Probability],MATCH($F188,manual_suppression[manual_suppression],0)),
  INDEX(door_open[Probability],MATCH($G188,door_open[door_open],0)),
  INDEX(smoke_seal[Probability],MATCH($H188,smoke_seal[smoke_seal],0))
)</f>
        <v>2.1814800000000013E-5</v>
      </c>
      <c r="L188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88" t="str">
        <f>event_tree[[#This Row],[ASET_scenario]]&amp;Inputs!$F$8</f>
        <v>X6</v>
      </c>
      <c r="N188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88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88" t="str">
        <f>event_tree[[#This Row],[fire_location]]&amp;Inputs!$F$8</f>
        <v>Corridor6</v>
      </c>
      <c r="Q188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88">
        <f>IF(event_tree[[#This Row],[fire_location]]="Apartment",Inputs!$F$11,Inputs!$F$12)</f>
        <v>600</v>
      </c>
      <c r="S188">
        <f>10+Inputs!$F$8</f>
        <v>16</v>
      </c>
      <c r="T188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88">
        <f>IF(event_tree[[#This Row],[fire_location]]="Apartment",Inputs!$F$12,Inputs!$F$11)</f>
        <v>60</v>
      </c>
      <c r="V188">
        <f>10+Inputs!$F$8</f>
        <v>16</v>
      </c>
      <c r="W188">
        <f>30</f>
        <v>30</v>
      </c>
      <c r="X188" t="str">
        <f>IF(event_tree[[#This Row],[ASET_scenario]]="X","extinguish",
   event_tree[[#This Row],[SOU_tdet]] + event_tree[[#This Row],[SOU_tpre]] + event_tree[[#This Row],[tnot]])</f>
        <v>extinguish</v>
      </c>
      <c r="Y188" t="str">
        <f>IF(event_tree[[#This Row],[ASET_scenario]]="X","extinguish",
   event_tree[[#This Row],[SOU_inside_RSET]] + event_tree[[#This Row],[SOU_ttrav]])</f>
        <v>extinguish</v>
      </c>
      <c r="Z188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88" t="str">
        <f>IF(event_tree[[#This Row],[ASET_scenario]]="X","extinguish", event_tree[[#This Row],[apt_ASET]]/event_tree[[#This Row],[SOU_inside_RSET]])</f>
        <v>extinguish</v>
      </c>
      <c r="AB188" t="str">
        <f>IF(event_tree[[#This Row],[ASET_scenario]]="X","extinguish",event_tree[[#This Row],[cor_ASET]]/event_tree[[#This Row],[SOU_outside_RSET]])</f>
        <v>extinguish</v>
      </c>
      <c r="AC188" t="str">
        <f>IF(event_tree[[#This Row],[ASET_scenario]]="X","extinguish",event_tree[[#This Row],[cor_ASET]]/event_tree[[#This Row],[remote_RSET]])</f>
        <v>extinguish</v>
      </c>
      <c r="AD188" t="b">
        <f>IF(OR(event_tree[[#This Row],[SOU_inside_ratio]]&lt;1,event_tree[[#This Row],[SOU_outside_ratio]]&lt;1),2)</f>
        <v>0</v>
      </c>
      <c r="AE188" t="b">
        <f>IF(event_tree[[#This Row],[remote_ratio]]&lt;1,2*(Inputs!$F$5-1))</f>
        <v>0</v>
      </c>
      <c r="AF188">
        <f>event_tree[[#This Row],[SOU_casualty]]+event_tree[[#This Row],[remote_casualty]]</f>
        <v>0</v>
      </c>
      <c r="AG188">
        <f>event_tree[[#This Row],[fire_frequency]]*event_tree[[#This Row],[probability_of_scenario]]</f>
        <v>2.8359240000000016E-8</v>
      </c>
      <c r="AH188">
        <f>event_tree[[#This Row],[total_casualty]]*event_tree[[#This Row],[fire_probability]]</f>
        <v>0</v>
      </c>
    </row>
    <row r="189" spans="1:34" x14ac:dyDescent="0.25">
      <c r="A189">
        <v>188</v>
      </c>
      <c r="B189" t="str" cm="1">
        <f t="array" ref="B189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89" t="str" cm="1">
        <f t="array" ref="C189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89" t="str" cm="1">
        <f t="array" ref="D189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89" t="str" cm="1">
        <f t="array" ref="E189">INDEX(sprinkler[sprinkler],
  1+MOD(QUOTIENT(ROW()-ROW($B$2),
     ROWS(manual_suppression[manual_suppression])*
     ROWS(door_open[door_open])*
     ROWS(smoke_seal[smoke_seal])
  ),
  ROWS(sprinkler[sprinkler]))
)</f>
        <v>Extinguish</v>
      </c>
      <c r="F189" t="str" cm="1">
        <f t="array" ref="F189">INDEX(manual_suppression[manual_suppression],
  1+MOD(QUOTIENT(ROW()-ROW($B$2),
     ROWS(door_open[door_open])*
     ROWS(smoke_seal[smoke_seal])
  ),
  ROWS(manual_suppression[manual_suppression]))
)</f>
        <v>Fail</v>
      </c>
      <c r="G189" t="str" cm="1">
        <f t="array" ref="G189">INDEX(door_open[door_open],
  1+MOD(QUOTIENT(ROW()-ROW($B$2),
     ROWS(smoke_seal[smoke_seal])
  ),
  ROWS(door_open[door_open]))
)</f>
        <v>Closed</v>
      </c>
      <c r="H189" t="str" cm="1">
        <f t="array" ref="H189">INDEX(smoke_seal[smoke_seal],
  1+MOD(ROW()-ROW($B$2), ROWS(smoke_seal[smoke_seal]))
)</f>
        <v>Success</v>
      </c>
      <c r="I189" t="str">
        <f>IF(event_tree[[#This Row],[door_open]]="Open","Open",IF(event_tree[[#This Row],[smoke_seal]]="Success","Close","Part"))</f>
        <v>Close</v>
      </c>
      <c r="J189">
        <f>IF(B189="apartment",Inputs!$I$7,Inputs!$I$6)</f>
        <v>1.2999999999999999E-3</v>
      </c>
      <c r="K189">
        <f>PRODUCT(
  INDEX(fire_location[Probability],MATCH($B189,fire_location[fire_location],0)),
  INDEX(smoke_detection_apt[Probability],MATCH($C189,smoke_detection_apt[smoke_detection_apt],0)),
  INDEX(smoke_detection_corridor[Probability],MATCH($D189,smoke_detection_corridor[smoke_detection_corridor],0)),
  INDEX(sprinkler[Probability],MATCH($E189,sprinkler[sprinkler],0)),
  INDEX(manual_suppression[Probability],MATCH($F189,manual_suppression[manual_suppression],0)),
  INDEX(door_open[Probability],MATCH($G189,door_open[door_open],0)),
  INDEX(smoke_seal[Probability],MATCH($H189,smoke_seal[smoke_seal],0))
)</f>
        <v>4.0513200000000031E-5</v>
      </c>
      <c r="L189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89" t="str">
        <f>event_tree[[#This Row],[ASET_scenario]]&amp;Inputs!$F$8</f>
        <v>X6</v>
      </c>
      <c r="N189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89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89" t="str">
        <f>event_tree[[#This Row],[fire_location]]&amp;Inputs!$F$8</f>
        <v>Corridor6</v>
      </c>
      <c r="Q189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89">
        <f>IF(event_tree[[#This Row],[fire_location]]="Apartment",Inputs!$F$11,Inputs!$F$12)</f>
        <v>600</v>
      </c>
      <c r="S189">
        <f>10+Inputs!$F$8</f>
        <v>16</v>
      </c>
      <c r="T189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89">
        <f>IF(event_tree[[#This Row],[fire_location]]="Apartment",Inputs!$F$12,Inputs!$F$11)</f>
        <v>60</v>
      </c>
      <c r="V189">
        <f>10+Inputs!$F$8</f>
        <v>16</v>
      </c>
      <c r="W189">
        <f>30</f>
        <v>30</v>
      </c>
      <c r="X189" t="str">
        <f>IF(event_tree[[#This Row],[ASET_scenario]]="X","extinguish",
   event_tree[[#This Row],[SOU_tdet]] + event_tree[[#This Row],[SOU_tpre]] + event_tree[[#This Row],[tnot]])</f>
        <v>extinguish</v>
      </c>
      <c r="Y189" t="str">
        <f>IF(event_tree[[#This Row],[ASET_scenario]]="X","extinguish",
   event_tree[[#This Row],[SOU_inside_RSET]] + event_tree[[#This Row],[SOU_ttrav]])</f>
        <v>extinguish</v>
      </c>
      <c r="Z189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89" t="str">
        <f>IF(event_tree[[#This Row],[ASET_scenario]]="X","extinguish", event_tree[[#This Row],[apt_ASET]]/event_tree[[#This Row],[SOU_inside_RSET]])</f>
        <v>extinguish</v>
      </c>
      <c r="AB189" t="str">
        <f>IF(event_tree[[#This Row],[ASET_scenario]]="X","extinguish",event_tree[[#This Row],[cor_ASET]]/event_tree[[#This Row],[SOU_outside_RSET]])</f>
        <v>extinguish</v>
      </c>
      <c r="AC189" t="str">
        <f>IF(event_tree[[#This Row],[ASET_scenario]]="X","extinguish",event_tree[[#This Row],[cor_ASET]]/event_tree[[#This Row],[remote_RSET]])</f>
        <v>extinguish</v>
      </c>
      <c r="AD189" t="b">
        <f>IF(OR(event_tree[[#This Row],[SOU_inside_ratio]]&lt;1,event_tree[[#This Row],[SOU_outside_ratio]]&lt;1),2)</f>
        <v>0</v>
      </c>
      <c r="AE189" t="b">
        <f>IF(event_tree[[#This Row],[remote_ratio]]&lt;1,2*(Inputs!$F$5-1))</f>
        <v>0</v>
      </c>
      <c r="AF189">
        <f>event_tree[[#This Row],[SOU_casualty]]+event_tree[[#This Row],[remote_casualty]]</f>
        <v>0</v>
      </c>
      <c r="AG189">
        <f>event_tree[[#This Row],[fire_frequency]]*event_tree[[#This Row],[probability_of_scenario]]</f>
        <v>5.2667160000000035E-8</v>
      </c>
      <c r="AH189">
        <f>event_tree[[#This Row],[total_casualty]]*event_tree[[#This Row],[fire_probability]]</f>
        <v>0</v>
      </c>
    </row>
    <row r="190" spans="1:34" x14ac:dyDescent="0.25">
      <c r="A190">
        <v>189</v>
      </c>
      <c r="B190" t="str" cm="1">
        <f t="array" ref="B190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90" t="str" cm="1">
        <f t="array" ref="C190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90" t="str" cm="1">
        <f t="array" ref="D190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90" t="str" cm="1">
        <f t="array" ref="E190">INDEX(sprinkler[sprinkler],
  1+MOD(QUOTIENT(ROW()-ROW($B$2),
     ROWS(manual_suppression[manual_suppression])*
     ROWS(door_open[door_open])*
     ROWS(smoke_seal[smoke_seal])
  ),
  ROWS(sprinkler[sprinkler]))
)</f>
        <v>Extinguish</v>
      </c>
      <c r="F190" t="str" cm="1">
        <f t="array" ref="F190">INDEX(manual_suppression[manual_suppression],
  1+MOD(QUOTIENT(ROW()-ROW($B$2),
     ROWS(door_open[door_open])*
     ROWS(smoke_seal[smoke_seal])
  ),
  ROWS(manual_suppression[manual_suppression]))
)</f>
        <v>Suppress</v>
      </c>
      <c r="G190" t="str" cm="1">
        <f t="array" ref="G190">INDEX(door_open[door_open],
  1+MOD(QUOTIENT(ROW()-ROW($B$2),
     ROWS(smoke_seal[smoke_seal])
  ),
  ROWS(door_open[door_open]))
)</f>
        <v>Open</v>
      </c>
      <c r="H190" t="str" cm="1">
        <f t="array" ref="H190">INDEX(smoke_seal[smoke_seal],
  1+MOD(ROW()-ROW($B$2), ROWS(smoke_seal[smoke_seal]))
)</f>
        <v>Fail</v>
      </c>
      <c r="I190" t="str">
        <f>IF(event_tree[[#This Row],[door_open]]="Open","Open",IF(event_tree[[#This Row],[smoke_seal]]="Success","Close","Part"))</f>
        <v>Open</v>
      </c>
      <c r="J190">
        <f>IF(B190="apartment",Inputs!$I$7,Inputs!$I$6)</f>
        <v>1.2999999999999999E-3</v>
      </c>
      <c r="K190">
        <f>PRODUCT(
  INDEX(fire_location[Probability],MATCH($B190,fire_location[fire_location],0)),
  INDEX(smoke_detection_apt[Probability],MATCH($C190,smoke_detection_apt[smoke_detection_apt],0)),
  INDEX(smoke_detection_corridor[Probability],MATCH($D190,smoke_detection_corridor[smoke_detection_corridor],0)),
  INDEX(sprinkler[Probability],MATCH($E190,sprinkler[sprinkler],0)),
  INDEX(manual_suppression[Probability],MATCH($F190,manual_suppression[manual_suppression],0)),
  INDEX(door_open[Probability],MATCH($G190,door_open[door_open],0)),
  INDEX(smoke_seal[Probability],MATCH($H190,smoke_seal[smoke_seal],0))
)</f>
        <v>1.7362800000000013E-5</v>
      </c>
      <c r="L190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90" t="str">
        <f>event_tree[[#This Row],[ASET_scenario]]&amp;Inputs!$F$8</f>
        <v>X6</v>
      </c>
      <c r="N190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90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90" t="str">
        <f>event_tree[[#This Row],[fire_location]]&amp;Inputs!$F$8</f>
        <v>Corridor6</v>
      </c>
      <c r="Q190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90">
        <f>IF(event_tree[[#This Row],[fire_location]]="Apartment",Inputs!$F$11,Inputs!$F$12)</f>
        <v>600</v>
      </c>
      <c r="S190">
        <f>10+Inputs!$F$8</f>
        <v>16</v>
      </c>
      <c r="T190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90">
        <f>IF(event_tree[[#This Row],[fire_location]]="Apartment",Inputs!$F$12,Inputs!$F$11)</f>
        <v>60</v>
      </c>
      <c r="V190">
        <f>10+Inputs!$F$8</f>
        <v>16</v>
      </c>
      <c r="W190">
        <f>30</f>
        <v>30</v>
      </c>
      <c r="X190" t="str">
        <f>IF(event_tree[[#This Row],[ASET_scenario]]="X","extinguish",
   event_tree[[#This Row],[SOU_tdet]] + event_tree[[#This Row],[SOU_tpre]] + event_tree[[#This Row],[tnot]])</f>
        <v>extinguish</v>
      </c>
      <c r="Y190" t="str">
        <f>IF(event_tree[[#This Row],[ASET_scenario]]="X","extinguish",
   event_tree[[#This Row],[SOU_inside_RSET]] + event_tree[[#This Row],[SOU_ttrav]])</f>
        <v>extinguish</v>
      </c>
      <c r="Z190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90" t="str">
        <f>IF(event_tree[[#This Row],[ASET_scenario]]="X","extinguish", event_tree[[#This Row],[apt_ASET]]/event_tree[[#This Row],[SOU_inside_RSET]])</f>
        <v>extinguish</v>
      </c>
      <c r="AB190" t="str">
        <f>IF(event_tree[[#This Row],[ASET_scenario]]="X","extinguish",event_tree[[#This Row],[cor_ASET]]/event_tree[[#This Row],[SOU_outside_RSET]])</f>
        <v>extinguish</v>
      </c>
      <c r="AC190" t="str">
        <f>IF(event_tree[[#This Row],[ASET_scenario]]="X","extinguish",event_tree[[#This Row],[cor_ASET]]/event_tree[[#This Row],[remote_RSET]])</f>
        <v>extinguish</v>
      </c>
      <c r="AD190" t="b">
        <f>IF(OR(event_tree[[#This Row],[SOU_inside_ratio]]&lt;1,event_tree[[#This Row],[SOU_outside_ratio]]&lt;1),2)</f>
        <v>0</v>
      </c>
      <c r="AE190" t="b">
        <f>IF(event_tree[[#This Row],[remote_ratio]]&lt;1,2*(Inputs!$F$5-1))</f>
        <v>0</v>
      </c>
      <c r="AF190">
        <f>event_tree[[#This Row],[SOU_casualty]]+event_tree[[#This Row],[remote_casualty]]</f>
        <v>0</v>
      </c>
      <c r="AG190">
        <f>event_tree[[#This Row],[fire_frequency]]*event_tree[[#This Row],[probability_of_scenario]]</f>
        <v>2.2571640000000016E-8</v>
      </c>
      <c r="AH190">
        <f>event_tree[[#This Row],[total_casualty]]*event_tree[[#This Row],[fire_probability]]</f>
        <v>0</v>
      </c>
    </row>
    <row r="191" spans="1:34" x14ac:dyDescent="0.25">
      <c r="A191">
        <v>190</v>
      </c>
      <c r="B191" t="str" cm="1">
        <f t="array" ref="B191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91" t="str" cm="1">
        <f t="array" ref="C191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91" t="str" cm="1">
        <f t="array" ref="D191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91" t="str" cm="1">
        <f t="array" ref="E191">INDEX(sprinkler[sprinkler],
  1+MOD(QUOTIENT(ROW()-ROW($B$2),
     ROWS(manual_suppression[manual_suppression])*
     ROWS(door_open[door_open])*
     ROWS(smoke_seal[smoke_seal])
  ),
  ROWS(sprinkler[sprinkler]))
)</f>
        <v>Extinguish</v>
      </c>
      <c r="F191" t="str" cm="1">
        <f t="array" ref="F191">INDEX(manual_suppression[manual_suppression],
  1+MOD(QUOTIENT(ROW()-ROW($B$2),
     ROWS(door_open[door_open])*
     ROWS(smoke_seal[smoke_seal])
  ),
  ROWS(manual_suppression[manual_suppression]))
)</f>
        <v>Suppress</v>
      </c>
      <c r="G191" t="str" cm="1">
        <f t="array" ref="G191">INDEX(door_open[door_open],
  1+MOD(QUOTIENT(ROW()-ROW($B$2),
     ROWS(smoke_seal[smoke_seal])
  ),
  ROWS(door_open[door_open]))
)</f>
        <v>Open</v>
      </c>
      <c r="H191" t="str" cm="1">
        <f t="array" ref="H191">INDEX(smoke_seal[smoke_seal],
  1+MOD(ROW()-ROW($B$2), ROWS(smoke_seal[smoke_seal]))
)</f>
        <v>Success</v>
      </c>
      <c r="I191" t="str">
        <f>IF(event_tree[[#This Row],[door_open]]="Open","Open",IF(event_tree[[#This Row],[smoke_seal]]="Success","Close","Part"))</f>
        <v>Open</v>
      </c>
      <c r="J191">
        <f>IF(B191="apartment",Inputs!$I$7,Inputs!$I$6)</f>
        <v>1.2999999999999999E-3</v>
      </c>
      <c r="K191">
        <f>PRODUCT(
  INDEX(fire_location[Probability],MATCH($B191,fire_location[fire_location],0)),
  INDEX(smoke_detection_apt[Probability],MATCH($C191,smoke_detection_apt[smoke_detection_apt],0)),
  INDEX(smoke_detection_corridor[Probability],MATCH($D191,smoke_detection_corridor[smoke_detection_corridor],0)),
  INDEX(sprinkler[Probability],MATCH($E191,sprinkler[sprinkler],0)),
  INDEX(manual_suppression[Probability],MATCH($F191,manual_suppression[manual_suppression],0)),
  INDEX(door_open[Probability],MATCH($G191,door_open[door_open],0)),
  INDEX(smoke_seal[Probability],MATCH($H191,smoke_seal[smoke_seal],0))
)</f>
        <v>3.2245200000000028E-5</v>
      </c>
      <c r="L191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91" t="str">
        <f>event_tree[[#This Row],[ASET_scenario]]&amp;Inputs!$F$8</f>
        <v>X6</v>
      </c>
      <c r="N191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91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91" t="str">
        <f>event_tree[[#This Row],[fire_location]]&amp;Inputs!$F$8</f>
        <v>Corridor6</v>
      </c>
      <c r="Q191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91">
        <f>IF(event_tree[[#This Row],[fire_location]]="Apartment",Inputs!$F$11,Inputs!$F$12)</f>
        <v>600</v>
      </c>
      <c r="S191">
        <f>10+Inputs!$F$8</f>
        <v>16</v>
      </c>
      <c r="T191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91">
        <f>IF(event_tree[[#This Row],[fire_location]]="Apartment",Inputs!$F$12,Inputs!$F$11)</f>
        <v>60</v>
      </c>
      <c r="V191">
        <f>10+Inputs!$F$8</f>
        <v>16</v>
      </c>
      <c r="W191">
        <f>30</f>
        <v>30</v>
      </c>
      <c r="X191" t="str">
        <f>IF(event_tree[[#This Row],[ASET_scenario]]="X","extinguish",
   event_tree[[#This Row],[SOU_tdet]] + event_tree[[#This Row],[SOU_tpre]] + event_tree[[#This Row],[tnot]])</f>
        <v>extinguish</v>
      </c>
      <c r="Y191" t="str">
        <f>IF(event_tree[[#This Row],[ASET_scenario]]="X","extinguish",
   event_tree[[#This Row],[SOU_inside_RSET]] + event_tree[[#This Row],[SOU_ttrav]])</f>
        <v>extinguish</v>
      </c>
      <c r="Z191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91" t="str">
        <f>IF(event_tree[[#This Row],[ASET_scenario]]="X","extinguish", event_tree[[#This Row],[apt_ASET]]/event_tree[[#This Row],[SOU_inside_RSET]])</f>
        <v>extinguish</v>
      </c>
      <c r="AB191" t="str">
        <f>IF(event_tree[[#This Row],[ASET_scenario]]="X","extinguish",event_tree[[#This Row],[cor_ASET]]/event_tree[[#This Row],[SOU_outside_RSET]])</f>
        <v>extinguish</v>
      </c>
      <c r="AC191" t="str">
        <f>IF(event_tree[[#This Row],[ASET_scenario]]="X","extinguish",event_tree[[#This Row],[cor_ASET]]/event_tree[[#This Row],[remote_RSET]])</f>
        <v>extinguish</v>
      </c>
      <c r="AD191" t="b">
        <f>IF(OR(event_tree[[#This Row],[SOU_inside_ratio]]&lt;1,event_tree[[#This Row],[SOU_outside_ratio]]&lt;1),2)</f>
        <v>0</v>
      </c>
      <c r="AE191" t="b">
        <f>IF(event_tree[[#This Row],[remote_ratio]]&lt;1,2*(Inputs!$F$5-1))</f>
        <v>0</v>
      </c>
      <c r="AF191">
        <f>event_tree[[#This Row],[SOU_casualty]]+event_tree[[#This Row],[remote_casualty]]</f>
        <v>0</v>
      </c>
      <c r="AG191">
        <f>event_tree[[#This Row],[fire_frequency]]*event_tree[[#This Row],[probability_of_scenario]]</f>
        <v>4.1918760000000036E-8</v>
      </c>
      <c r="AH191">
        <f>event_tree[[#This Row],[total_casualty]]*event_tree[[#This Row],[fire_probability]]</f>
        <v>0</v>
      </c>
    </row>
    <row r="192" spans="1:34" x14ac:dyDescent="0.25">
      <c r="A192">
        <v>191</v>
      </c>
      <c r="B192" t="str" cm="1">
        <f t="array" ref="B192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92" t="str" cm="1">
        <f t="array" ref="C192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92" t="str" cm="1">
        <f t="array" ref="D192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92" t="str" cm="1">
        <f t="array" ref="E192">INDEX(sprinkler[sprinkler],
  1+MOD(QUOTIENT(ROW()-ROW($B$2),
     ROWS(manual_suppression[manual_suppression])*
     ROWS(door_open[door_open])*
     ROWS(smoke_seal[smoke_seal])
  ),
  ROWS(sprinkler[sprinkler]))
)</f>
        <v>Extinguish</v>
      </c>
      <c r="F192" t="str" cm="1">
        <f t="array" ref="F192">INDEX(manual_suppression[manual_suppression],
  1+MOD(QUOTIENT(ROW()-ROW($B$2),
     ROWS(door_open[door_open])*
     ROWS(smoke_seal[smoke_seal])
  ),
  ROWS(manual_suppression[manual_suppression]))
)</f>
        <v>Suppress</v>
      </c>
      <c r="G192" t="str" cm="1">
        <f t="array" ref="G192">INDEX(door_open[door_open],
  1+MOD(QUOTIENT(ROW()-ROW($B$2),
     ROWS(smoke_seal[smoke_seal])
  ),
  ROWS(door_open[door_open]))
)</f>
        <v>Closed</v>
      </c>
      <c r="H192" t="str" cm="1">
        <f t="array" ref="H192">INDEX(smoke_seal[smoke_seal],
  1+MOD(ROW()-ROW($B$2), ROWS(smoke_seal[smoke_seal]))
)</f>
        <v>Fail</v>
      </c>
      <c r="I192" t="str">
        <f>IF(event_tree[[#This Row],[door_open]]="Open","Open",IF(event_tree[[#This Row],[smoke_seal]]="Success","Close","Part"))</f>
        <v>Part</v>
      </c>
      <c r="J192">
        <f>IF(B192="apartment",Inputs!$I$7,Inputs!$I$6)</f>
        <v>1.2999999999999999E-3</v>
      </c>
      <c r="K192">
        <f>PRODUCT(
  INDEX(fire_location[Probability],MATCH($B192,fire_location[fire_location],0)),
  INDEX(smoke_detection_apt[Probability],MATCH($C192,smoke_detection_apt[smoke_detection_apt],0)),
  INDEX(smoke_detection_corridor[Probability],MATCH($D192,smoke_detection_corridor[smoke_detection_corridor],0)),
  INDEX(sprinkler[Probability],MATCH($E192,sprinkler[sprinkler],0)),
  INDEX(manual_suppression[Probability],MATCH($F192,manual_suppression[manual_suppression],0)),
  INDEX(door_open[Probability],MATCH($G192,door_open[door_open],0)),
  INDEX(smoke_seal[Probability],MATCH($H192,smoke_seal[smoke_seal],0))
)</f>
        <v>4.0513200000000031E-5</v>
      </c>
      <c r="L192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92" t="str">
        <f>event_tree[[#This Row],[ASET_scenario]]&amp;Inputs!$F$8</f>
        <v>X6</v>
      </c>
      <c r="N192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92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92" t="str">
        <f>event_tree[[#This Row],[fire_location]]&amp;Inputs!$F$8</f>
        <v>Corridor6</v>
      </c>
      <c r="Q192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92">
        <f>IF(event_tree[[#This Row],[fire_location]]="Apartment",Inputs!$F$11,Inputs!$F$12)</f>
        <v>600</v>
      </c>
      <c r="S192">
        <f>10+Inputs!$F$8</f>
        <v>16</v>
      </c>
      <c r="T192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92">
        <f>IF(event_tree[[#This Row],[fire_location]]="Apartment",Inputs!$F$12,Inputs!$F$11)</f>
        <v>60</v>
      </c>
      <c r="V192">
        <f>10+Inputs!$F$8</f>
        <v>16</v>
      </c>
      <c r="W192">
        <f>30</f>
        <v>30</v>
      </c>
      <c r="X192" t="str">
        <f>IF(event_tree[[#This Row],[ASET_scenario]]="X","extinguish",
   event_tree[[#This Row],[SOU_tdet]] + event_tree[[#This Row],[SOU_tpre]] + event_tree[[#This Row],[tnot]])</f>
        <v>extinguish</v>
      </c>
      <c r="Y192" t="str">
        <f>IF(event_tree[[#This Row],[ASET_scenario]]="X","extinguish",
   event_tree[[#This Row],[SOU_inside_RSET]] + event_tree[[#This Row],[SOU_ttrav]])</f>
        <v>extinguish</v>
      </c>
      <c r="Z192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92" t="str">
        <f>IF(event_tree[[#This Row],[ASET_scenario]]="X","extinguish", event_tree[[#This Row],[apt_ASET]]/event_tree[[#This Row],[SOU_inside_RSET]])</f>
        <v>extinguish</v>
      </c>
      <c r="AB192" t="str">
        <f>IF(event_tree[[#This Row],[ASET_scenario]]="X","extinguish",event_tree[[#This Row],[cor_ASET]]/event_tree[[#This Row],[SOU_outside_RSET]])</f>
        <v>extinguish</v>
      </c>
      <c r="AC192" t="str">
        <f>IF(event_tree[[#This Row],[ASET_scenario]]="X","extinguish",event_tree[[#This Row],[cor_ASET]]/event_tree[[#This Row],[remote_RSET]])</f>
        <v>extinguish</v>
      </c>
      <c r="AD192" t="b">
        <f>IF(OR(event_tree[[#This Row],[SOU_inside_ratio]]&lt;1,event_tree[[#This Row],[SOU_outside_ratio]]&lt;1),2)</f>
        <v>0</v>
      </c>
      <c r="AE192" t="b">
        <f>IF(event_tree[[#This Row],[remote_ratio]]&lt;1,2*(Inputs!$F$5-1))</f>
        <v>0</v>
      </c>
      <c r="AF192">
        <f>event_tree[[#This Row],[SOU_casualty]]+event_tree[[#This Row],[remote_casualty]]</f>
        <v>0</v>
      </c>
      <c r="AG192">
        <f>event_tree[[#This Row],[fire_frequency]]*event_tree[[#This Row],[probability_of_scenario]]</f>
        <v>5.2667160000000035E-8</v>
      </c>
      <c r="AH192">
        <f>event_tree[[#This Row],[total_casualty]]*event_tree[[#This Row],[fire_probability]]</f>
        <v>0</v>
      </c>
    </row>
    <row r="193" spans="1:34" x14ac:dyDescent="0.25">
      <c r="A193">
        <v>192</v>
      </c>
      <c r="B193" t="str" cm="1">
        <f t="array" ref="B193">INDEX(fire_location[fire_location],
  1+MOD(QUOTIENT(ROW()-ROW($B$2),
     ROWS(smoke_detection_apt[smoke_detection_apt])*
     ROWS(smoke_detection_corridor[smoke_detection_corridor])*
     ROWS(sprinkler[sprinkler])*
     ROWS(manual_suppression[manual_suppression])*
     ROWS(door_open[door_open])*
     ROWS(smoke_seal[smoke_seal])
  ),
  ROWS(fire_location[fire_location]))
)</f>
        <v>Corridor</v>
      </c>
      <c r="C193" t="str" cm="1">
        <f t="array" ref="C193">INDEX(smoke_detection_apt[smoke_detection_apt],
  1+MOD(QUOTIENT(ROW()-ROW($B$2),
     ROWS(smoke_detection_corridor[smoke_detection_corridor])*
     ROWS(sprinkler[sprinkler])*
     ROWS(manual_suppression[manual_suppression])*
     ROWS(door_open[door_open])*
     ROWS(smoke_seal[smoke_seal])
  ),
  ROWS(smoke_detection_apt[smoke_detection_apt]))
)</f>
        <v>Fail</v>
      </c>
      <c r="D193" t="str" cm="1">
        <f t="array" ref="D193">INDEX(smoke_detection_corridor[smoke_detection_corridor],
  1+MOD(QUOTIENT(ROW()-ROW($B$2),
     ROWS(sprinkler[sprinkler])*
     ROWS(manual_suppression[manual_suppression])*
     ROWS(door_open[door_open])*
     ROWS(smoke_seal[smoke_seal])
  ),
  ROWS(smoke_detection_corridor[smoke_detection_corridor]))
)</f>
        <v>Fail</v>
      </c>
      <c r="E193" t="str" cm="1">
        <f t="array" ref="E193">INDEX(sprinkler[sprinkler],
  1+MOD(QUOTIENT(ROW()-ROW($B$2),
     ROWS(manual_suppression[manual_suppression])*
     ROWS(door_open[door_open])*
     ROWS(smoke_seal[smoke_seal])
  ),
  ROWS(sprinkler[sprinkler]))
)</f>
        <v>Extinguish</v>
      </c>
      <c r="F193" t="str" cm="1">
        <f t="array" ref="F193">INDEX(manual_suppression[manual_suppression],
  1+MOD(QUOTIENT(ROW()-ROW($B$2),
     ROWS(door_open[door_open])*
     ROWS(smoke_seal[smoke_seal])
  ),
  ROWS(manual_suppression[manual_suppression]))
)</f>
        <v>Suppress</v>
      </c>
      <c r="G193" t="str" cm="1">
        <f t="array" ref="G193">INDEX(door_open[door_open],
  1+MOD(QUOTIENT(ROW()-ROW($B$2),
     ROWS(smoke_seal[smoke_seal])
  ),
  ROWS(door_open[door_open]))
)</f>
        <v>Closed</v>
      </c>
      <c r="H193" t="str" cm="1">
        <f t="array" ref="H193">INDEX(smoke_seal[smoke_seal],
  1+MOD(ROW()-ROW($B$2), ROWS(smoke_seal[smoke_seal]))
)</f>
        <v>Success</v>
      </c>
      <c r="I193" t="str">
        <f>IF(event_tree[[#This Row],[door_open]]="Open","Open",IF(event_tree[[#This Row],[smoke_seal]]="Success","Close","Part"))</f>
        <v>Close</v>
      </c>
      <c r="J193">
        <f>IF(B193="apartment",Inputs!$I$7,Inputs!$I$6)</f>
        <v>1.2999999999999999E-3</v>
      </c>
      <c r="K193">
        <f>PRODUCT(
  INDEX(fire_location[Probability],MATCH($B193,fire_location[fire_location],0)),
  INDEX(smoke_detection_apt[Probability],MATCH($C193,smoke_detection_apt[smoke_detection_apt],0)),
  INDEX(smoke_detection_corridor[Probability],MATCH($D193,smoke_detection_corridor[smoke_detection_corridor],0)),
  INDEX(sprinkler[Probability],MATCH($E193,sprinkler[sprinkler],0)),
  INDEX(manual_suppression[Probability],MATCH($F193,manual_suppression[manual_suppression],0)),
  INDEX(door_open[Probability],MATCH($G193,door_open[door_open],0)),
  INDEX(smoke_seal[Probability],MATCH($H193,smoke_seal[smoke_seal],0))
)</f>
        <v>7.523880000000007E-5</v>
      </c>
      <c r="L193" t="str">
        <f>IF(OR(event_tree[[#This Row],[sprinkler]]="Extinguish",event_tree[[#This Row],[manual_suppression]]="Suppress"),"X",INDEX(ASET_lookup[ASET_scenario],MATCH(event_tree[[#This Row],[fire_location]]&amp;"-"&amp;event_tree[[#This Row],[sprinkler]]&amp;"-"&amp;event_tree[[#This Row],[door_status]],ASET_lookup[Key],0)))</f>
        <v>X</v>
      </c>
      <c r="M193" t="str">
        <f>event_tree[[#This Row],[ASET_scenario]]&amp;Inputs!$F$8</f>
        <v>X6</v>
      </c>
      <c r="N193" t="str">
        <f>IF(OR(event_tree[[#This Row],[sprinkler]]="Extinguish",event_tree[[#This Row],[manual_suppression]]="Suppress"),"extinguish",_xlfn.XLOOKUP(event_tree[[#This Row],[ASET_helper1]],ASET_data[ASET_helper1],ASET_data[apt_ASET]))</f>
        <v>extinguish</v>
      </c>
      <c r="O193" t="str">
        <f>IF(OR(event_tree[[#This Row],[sprinkler]]="Extinguish",event_tree[[#This Row],[manual_suppression]]="Suppress"),"extinguish",_xlfn.XLOOKUP(event_tree[[#This Row],[ASET_helper1]],ASET_data[ASET_helper1],ASET_data[cor_ASET]))</f>
        <v>extinguish</v>
      </c>
      <c r="P193" t="str">
        <f>event_tree[[#This Row],[fire_location]]&amp;Inputs!$F$8</f>
        <v>Corridor6</v>
      </c>
      <c r="Q193">
        <f>IF(event_tree[[#This Row],[ASET_scenario]]="X",0,
   IF(event_tree[[#This Row],[smoke_detection_apt]]="Activate",
      _xlfn.XLOOKUP(event_tree[[#This Row],[ASET_helper1]],ASET_data[ASET_helper1],ASET_data[apt_SD]),
      IF(event_tree[[#This Row],[smoke_detection_corridor]]="Activate",
         _xlfn.XLOOKUP(event_tree[[#This Row],[ASET_helper1]],ASET_data[ASET_helper1],ASET_data[cor_SD]),
         900)))</f>
        <v>0</v>
      </c>
      <c r="R193">
        <f>IF(event_tree[[#This Row],[fire_location]]="Apartment",Inputs!$F$11,Inputs!$F$12)</f>
        <v>600</v>
      </c>
      <c r="S193">
        <f>10+Inputs!$F$8</f>
        <v>16</v>
      </c>
      <c r="T193">
        <f>IF(event_tree[[#This Row],[ASET_scenario]]="X",0,
   IF(event_tree[[#This Row],[smoke_detection_corridor]]="Activate",
      _xlfn.XLOOKUP(event_tree[[#This Row],[ASET_helper1]],ASET_data[ASET_helper1],ASET_data[cor_SD]),
      IF(event_tree[[#This Row],[smoke_detection_apt]]="Activate",(
         _xlfn.XLOOKUP(event_tree[[#This Row],[ASET_helper1]],ASET_data[ASET_helper1],ASET_data[apt_SD])+300),
         900)))</f>
        <v>0</v>
      </c>
      <c r="U193">
        <f>IF(event_tree[[#This Row],[fire_location]]="Apartment",Inputs!$F$12,Inputs!$F$11)</f>
        <v>60</v>
      </c>
      <c r="V193">
        <f>10+Inputs!$F$8</f>
        <v>16</v>
      </c>
      <c r="W193">
        <f>30</f>
        <v>30</v>
      </c>
      <c r="X193" t="str">
        <f>IF(event_tree[[#This Row],[ASET_scenario]]="X","extinguish",
   event_tree[[#This Row],[SOU_tdet]] + event_tree[[#This Row],[SOU_tpre]] + event_tree[[#This Row],[tnot]])</f>
        <v>extinguish</v>
      </c>
      <c r="Y193" t="str">
        <f>IF(event_tree[[#This Row],[ASET_scenario]]="X","extinguish",
   event_tree[[#This Row],[SOU_inside_RSET]] + event_tree[[#This Row],[SOU_ttrav]])</f>
        <v>extinguish</v>
      </c>
      <c r="Z193" t="str">
        <f>IF(event_tree[[#This Row],[ASET_scenario]]="X","extinguish",
   event_tree[[#This Row],[remote_tdet]] + event_tree[[#This Row],[remote_tpre]] + event_tree[[#This Row],[remote_ttrav]] + event_tree[[#This Row],[tnot]])</f>
        <v>extinguish</v>
      </c>
      <c r="AA193" t="str">
        <f>IF(event_tree[[#This Row],[ASET_scenario]]="X","extinguish", event_tree[[#This Row],[apt_ASET]]/event_tree[[#This Row],[SOU_inside_RSET]])</f>
        <v>extinguish</v>
      </c>
      <c r="AB193" t="str">
        <f>IF(event_tree[[#This Row],[ASET_scenario]]="X","extinguish",event_tree[[#This Row],[cor_ASET]]/event_tree[[#This Row],[SOU_outside_RSET]])</f>
        <v>extinguish</v>
      </c>
      <c r="AC193" t="str">
        <f>IF(event_tree[[#This Row],[ASET_scenario]]="X","extinguish",event_tree[[#This Row],[cor_ASET]]/event_tree[[#This Row],[remote_RSET]])</f>
        <v>extinguish</v>
      </c>
      <c r="AD193" t="b">
        <f>IF(OR(event_tree[[#This Row],[SOU_inside_ratio]]&lt;1,event_tree[[#This Row],[SOU_outside_ratio]]&lt;1),2)</f>
        <v>0</v>
      </c>
      <c r="AE193" t="b">
        <f>IF(event_tree[[#This Row],[remote_ratio]]&lt;1,2*(Inputs!$F$5-1))</f>
        <v>0</v>
      </c>
      <c r="AF193">
        <f>event_tree[[#This Row],[SOU_casualty]]+event_tree[[#This Row],[remote_casualty]]</f>
        <v>0</v>
      </c>
      <c r="AG193">
        <f>event_tree[[#This Row],[fire_frequency]]*event_tree[[#This Row],[probability_of_scenario]]</f>
        <v>9.7810440000000088E-8</v>
      </c>
      <c r="AH193">
        <f>event_tree[[#This Row],[total_casualty]]*event_tree[[#This Row],[fire_probability]]</f>
        <v>0</v>
      </c>
    </row>
  </sheetData>
  <phoneticPr fontId="1" type="noConversion"/>
  <conditionalFormatting sqref="AA2:AC193">
    <cfRule type="cellIs" dxfId="0" priority="2" operator="between">
      <formula>1</formula>
      <formula>10000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2A07F-4AFD-419B-B46B-970C05E6D210}">
  <sheetPr codeName="Sheet5"/>
  <dimension ref="A1:AH85"/>
  <sheetViews>
    <sheetView zoomScale="85" zoomScaleNormal="85" workbookViewId="0">
      <selection activeCell="T9" sqref="T9"/>
    </sheetView>
  </sheetViews>
  <sheetFormatPr defaultRowHeight="15" x14ac:dyDescent="0.25"/>
  <cols>
    <col min="1" max="1" width="7.5703125" bestFit="1" customWidth="1"/>
    <col min="2" max="2" width="16.42578125" customWidth="1"/>
    <col min="3" max="3" width="15.5703125" bestFit="1" customWidth="1"/>
    <col min="4" max="4" width="11" bestFit="1" customWidth="1"/>
    <col min="5" max="5" width="11.42578125" bestFit="1" customWidth="1"/>
    <col min="6" max="6" width="7.7109375" bestFit="1" customWidth="1"/>
    <col min="7" max="7" width="17.5703125" bestFit="1" customWidth="1"/>
    <col min="8" max="10" width="26.42578125" bestFit="1" customWidth="1"/>
    <col min="11" max="11" width="9.5703125" bestFit="1" customWidth="1"/>
    <col min="12" max="12" width="10.5703125" bestFit="1" customWidth="1"/>
    <col min="13" max="14" width="11.42578125" bestFit="1" customWidth="1"/>
    <col min="15" max="15" width="12.140625" customWidth="1"/>
    <col min="18" max="18" width="11.42578125" bestFit="1" customWidth="1"/>
    <col min="20" max="20" width="12.5703125" bestFit="1" customWidth="1"/>
    <col min="21" max="22" width="8.85546875" bestFit="1" customWidth="1"/>
    <col min="23" max="23" width="12.5703125" bestFit="1" customWidth="1"/>
    <col min="24" max="25" width="8.85546875" bestFit="1" customWidth="1"/>
    <col min="26" max="26" width="13.7109375" bestFit="1" customWidth="1"/>
    <col min="27" max="28" width="8.85546875" bestFit="1" customWidth="1"/>
    <col min="29" max="29" width="13.140625" bestFit="1" customWidth="1"/>
    <col min="30" max="31" width="8.85546875" bestFit="1" customWidth="1"/>
    <col min="32" max="32" width="12.5703125" bestFit="1" customWidth="1"/>
    <col min="33" max="34" width="8.85546875" bestFit="1" customWidth="1"/>
    <col min="35" max="35" width="13.7109375" bestFit="1" customWidth="1"/>
    <col min="36" max="36" width="8.85546875" bestFit="1" customWidth="1"/>
  </cols>
  <sheetData>
    <row r="1" spans="1:34" x14ac:dyDescent="0.25">
      <c r="A1" t="s">
        <v>97</v>
      </c>
      <c r="B1" t="s">
        <v>57</v>
      </c>
      <c r="C1" t="s">
        <v>118</v>
      </c>
      <c r="D1" t="s">
        <v>10</v>
      </c>
      <c r="E1" t="s">
        <v>13</v>
      </c>
      <c r="F1" t="s">
        <v>58</v>
      </c>
      <c r="G1" t="s">
        <v>74</v>
      </c>
      <c r="H1" t="s">
        <v>120</v>
      </c>
      <c r="I1" t="s">
        <v>119</v>
      </c>
      <c r="J1" t="s">
        <v>79</v>
      </c>
      <c r="K1" t="s">
        <v>80</v>
      </c>
      <c r="L1" t="s">
        <v>84</v>
      </c>
      <c r="M1" t="s">
        <v>81</v>
      </c>
      <c r="N1" t="s">
        <v>82</v>
      </c>
      <c r="O1" t="s">
        <v>85</v>
      </c>
      <c r="P1" t="s">
        <v>83</v>
      </c>
      <c r="Q1" t="s">
        <v>148</v>
      </c>
      <c r="R1" t="s">
        <v>81</v>
      </c>
      <c r="S1" t="s">
        <v>83</v>
      </c>
      <c r="T1" s="8" t="s">
        <v>143</v>
      </c>
      <c r="U1" t="s">
        <v>81</v>
      </c>
      <c r="V1" t="s">
        <v>83</v>
      </c>
      <c r="W1" t="s">
        <v>144</v>
      </c>
      <c r="X1" t="s">
        <v>81</v>
      </c>
      <c r="Y1" t="s">
        <v>83</v>
      </c>
      <c r="Z1" t="s">
        <v>145</v>
      </c>
      <c r="AA1" t="s">
        <v>81</v>
      </c>
      <c r="AB1" t="s">
        <v>83</v>
      </c>
      <c r="AC1" s="8" t="s">
        <v>146</v>
      </c>
      <c r="AD1" t="s">
        <v>81</v>
      </c>
      <c r="AE1" t="s">
        <v>83</v>
      </c>
      <c r="AF1" t="s">
        <v>147</v>
      </c>
      <c r="AG1" t="s">
        <v>81</v>
      </c>
      <c r="AH1" t="s">
        <v>83</v>
      </c>
    </row>
    <row r="2" spans="1:34" x14ac:dyDescent="0.25">
      <c r="A2">
        <v>1</v>
      </c>
      <c r="B2" t="s">
        <v>8</v>
      </c>
      <c r="C2" t="str">
        <f>ASET_data[[#This Row],[ASET_scenario]]&amp;ASET_data[[#This Row],[Corridor_length]]</f>
        <v>A6</v>
      </c>
      <c r="D2" t="str" cm="1">
        <f t="array" ref="D2">INDEX(fire_location_2[fire_location_2],
  MOD(INT((ROW()-ROW($D$2)) / (ROWS(sprinkler_2[sprinkler_2])*ROWS(door_2[door_2])*ROWS(corridor_2[corridor_2]))),
  ROWS(fire_location_2[fire_location_2])) + 1)</f>
        <v>Apartment</v>
      </c>
      <c r="E2" t="str" cm="1">
        <f t="array" ref="E2">INDEX(sprinkler_2[sprinkler_2],
  MOD(INT((ROW()-ROW($D$2)) / (ROWS(door_2[door_2])*ROWS(corridor_2[corridor_2]))),
  ROWS(sprinkler_2[sprinkler_2])) + 1)</f>
        <v>Fail</v>
      </c>
      <c r="F2" t="str" cm="1">
        <f t="array" ref="F2">INDEX(door_2[door_2],
  MOD(INT((ROW()-ROW($D$2)) / ROWS(corridor_2[corridor_2])),
  ROWS(door_2[door_2])) + 1)</f>
        <v>open</v>
      </c>
      <c r="G2" cm="1">
        <f t="array" ref="G2">INDEX(corridor_2[corridor_2],
  MOD(ROW()-ROW($D$2), ROWS(corridor_2[corridor_2])) + 1)</f>
        <v>6</v>
      </c>
      <c r="H2" t="str">
        <f>ASET_data[[#This Row],[Location]]&amp;ASET_data[[#This Row],[Corridor_length]]</f>
        <v>Apartment6</v>
      </c>
      <c r="I2" t="str">
        <f>_xlfn.XLOOKUP(ASET_data[[#This Row],[location_length]],RSET_lookup[location_length],RSET_lookup[RSET_helper])</f>
        <v>A6</v>
      </c>
      <c r="J2" t="str">
        <f>_xlfn.TEXTJOIN("_",TRUE,D2,E2,F2,G2)</f>
        <v>Apartment_Fail_open_6</v>
      </c>
      <c r="K2">
        <v>37</v>
      </c>
      <c r="L2">
        <v>223</v>
      </c>
      <c r="M2">
        <f t="shared" ref="M2:M33" si="0">R2</f>
        <v>63</v>
      </c>
      <c r="N2">
        <v>90</v>
      </c>
      <c r="O2" t="s">
        <v>86</v>
      </c>
      <c r="P2">
        <f t="shared" ref="P2:P33" si="1">S2</f>
        <v>92</v>
      </c>
      <c r="R2">
        <v>63</v>
      </c>
      <c r="S2">
        <v>92</v>
      </c>
      <c r="T2">
        <v>1.25</v>
      </c>
      <c r="U2">
        <f>R2*$T$2</f>
        <v>78.75</v>
      </c>
      <c r="V2">
        <f>S2*$T$2</f>
        <v>115</v>
      </c>
      <c r="W2">
        <v>1.5</v>
      </c>
      <c r="X2">
        <f>$W$2*R2</f>
        <v>94.5</v>
      </c>
      <c r="Y2">
        <f>$W$2*S2</f>
        <v>138</v>
      </c>
      <c r="Z2">
        <v>2</v>
      </c>
      <c r="AA2">
        <f>$Z$2*R2</f>
        <v>126</v>
      </c>
      <c r="AB2">
        <f>$Z$2*S2</f>
        <v>184</v>
      </c>
      <c r="AC2">
        <v>0.75</v>
      </c>
      <c r="AD2">
        <f>$AC$2*R2</f>
        <v>47.25</v>
      </c>
      <c r="AE2">
        <f>$AC$2*S2</f>
        <v>69</v>
      </c>
      <c r="AF2">
        <v>0.5</v>
      </c>
      <c r="AG2">
        <f>$AF$2*R2</f>
        <v>31.5</v>
      </c>
      <c r="AH2">
        <f>$AF$2*S2</f>
        <v>46</v>
      </c>
    </row>
    <row r="3" spans="1:34" x14ac:dyDescent="0.25">
      <c r="A3">
        <v>2</v>
      </c>
      <c r="B3" t="s">
        <v>8</v>
      </c>
      <c r="C3" t="str">
        <f>ASET_data[[#This Row],[ASET_scenario]]&amp;ASET_data[[#This Row],[Corridor_length]]</f>
        <v>A10</v>
      </c>
      <c r="D3" t="str" cm="1">
        <f t="array" ref="D3">INDEX(fire_location_2[fire_location_2],
  MOD(INT((ROW()-ROW($D$2)) / (ROWS(sprinkler_2[sprinkler_2])*ROWS(door_2[door_2])*ROWS(corridor_2[corridor_2]))),
  ROWS(fire_location_2[fire_location_2])) + 1)</f>
        <v>Apartment</v>
      </c>
      <c r="E3" t="str" cm="1">
        <f t="array" ref="E3">INDEX(sprinkler_2[sprinkler_2],
  MOD(INT((ROW()-ROW($D$2)) / (ROWS(door_2[door_2])*ROWS(corridor_2[corridor_2]))),
  ROWS(sprinkler_2[sprinkler_2])) + 1)</f>
        <v>Fail</v>
      </c>
      <c r="F3" t="str" cm="1">
        <f t="array" ref="F3">INDEX(door_2[door_2],
  MOD(INT((ROW()-ROW($D$2)) / ROWS(corridor_2[corridor_2])),
  ROWS(door_2[door_2])) + 1)</f>
        <v>open</v>
      </c>
      <c r="G3" cm="1">
        <f t="array" ref="G3">INDEX(corridor_2[corridor_2],
  MOD(ROW()-ROW($D$2), ROWS(corridor_2[corridor_2])) + 1)</f>
        <v>10</v>
      </c>
      <c r="H3" t="str">
        <f>ASET_data[[#This Row],[Location]]&amp;ASET_data[[#This Row],[Corridor_length]]</f>
        <v>Apartment10</v>
      </c>
      <c r="I3" t="str">
        <f>_xlfn.XLOOKUP(ASET_data[[#This Row],[location_length]],RSET_lookup[location_length],RSET_lookup[RSET_helper])</f>
        <v>A10</v>
      </c>
      <c r="J3" t="str">
        <f t="shared" ref="J3:J66" si="2">_xlfn.TEXTJOIN("_",TRUE,D3,E3,F3,G3)</f>
        <v>Apartment_Fail_open_10</v>
      </c>
      <c r="K3">
        <v>37</v>
      </c>
      <c r="L3">
        <v>224</v>
      </c>
      <c r="M3">
        <f t="shared" si="0"/>
        <v>63</v>
      </c>
      <c r="N3">
        <v>91</v>
      </c>
      <c r="O3" t="s">
        <v>86</v>
      </c>
      <c r="P3">
        <f t="shared" si="1"/>
        <v>100</v>
      </c>
      <c r="R3">
        <v>63</v>
      </c>
      <c r="S3">
        <v>100</v>
      </c>
      <c r="U3">
        <f t="shared" ref="U3:U66" si="3">R3*$T$2</f>
        <v>78.75</v>
      </c>
      <c r="V3">
        <f t="shared" ref="V3:V66" si="4">S3*$T$2</f>
        <v>125</v>
      </c>
      <c r="X3">
        <f t="shared" ref="X3:X66" si="5">$W$2*R3</f>
        <v>94.5</v>
      </c>
      <c r="Y3">
        <f t="shared" ref="Y3:Y66" si="6">$W$2*S3</f>
        <v>150</v>
      </c>
      <c r="AA3">
        <f t="shared" ref="AA3:AA66" si="7">$Z$2*R3</f>
        <v>126</v>
      </c>
      <c r="AB3">
        <f t="shared" ref="AB3:AB66" si="8">$Z$2*S3</f>
        <v>200</v>
      </c>
      <c r="AD3">
        <f t="shared" ref="AD3:AD66" si="9">$AC$2*R3</f>
        <v>47.25</v>
      </c>
      <c r="AE3">
        <f t="shared" ref="AE3:AE66" si="10">$AC$2*S3</f>
        <v>75</v>
      </c>
      <c r="AG3">
        <f t="shared" ref="AG3:AG66" si="11">$AF$2*R3</f>
        <v>31.5</v>
      </c>
      <c r="AH3">
        <f t="shared" ref="AH3:AH66" si="12">$AF$2*S3</f>
        <v>50</v>
      </c>
    </row>
    <row r="4" spans="1:34" x14ac:dyDescent="0.25">
      <c r="A4">
        <v>3</v>
      </c>
      <c r="B4" t="s">
        <v>8</v>
      </c>
      <c r="C4" t="str">
        <f>ASET_data[[#This Row],[ASET_scenario]]&amp;ASET_data[[#This Row],[Corridor_length]]</f>
        <v>A14</v>
      </c>
      <c r="D4" t="str" cm="1">
        <f t="array" ref="D4">INDEX(fire_location_2[fire_location_2],
  MOD(INT((ROW()-ROW($D$2)) / (ROWS(sprinkler_2[sprinkler_2])*ROWS(door_2[door_2])*ROWS(corridor_2[corridor_2]))),
  ROWS(fire_location_2[fire_location_2])) + 1)</f>
        <v>Apartment</v>
      </c>
      <c r="E4" t="str" cm="1">
        <f t="array" ref="E4">INDEX(sprinkler_2[sprinkler_2],
  MOD(INT((ROW()-ROW($D$2)) / (ROWS(door_2[door_2])*ROWS(corridor_2[corridor_2]))),
  ROWS(sprinkler_2[sprinkler_2])) + 1)</f>
        <v>Fail</v>
      </c>
      <c r="F4" t="str" cm="1">
        <f t="array" ref="F4">INDEX(door_2[door_2],
  MOD(INT((ROW()-ROW($D$2)) / ROWS(corridor_2[corridor_2])),
  ROWS(door_2[door_2])) + 1)</f>
        <v>open</v>
      </c>
      <c r="G4" cm="1">
        <f t="array" ref="G4">INDEX(corridor_2[corridor_2],
  MOD(ROW()-ROW($D$2), ROWS(corridor_2[corridor_2])) + 1)</f>
        <v>14</v>
      </c>
      <c r="H4" t="str">
        <f>ASET_data[[#This Row],[Location]]&amp;ASET_data[[#This Row],[Corridor_length]]</f>
        <v>Apartment14</v>
      </c>
      <c r="I4" t="str">
        <f>_xlfn.XLOOKUP(ASET_data[[#This Row],[location_length]],RSET_lookup[location_length],RSET_lookup[RSET_helper])</f>
        <v>A14</v>
      </c>
      <c r="J4" t="str">
        <f t="shared" si="2"/>
        <v>Apartment_Fail_open_14</v>
      </c>
      <c r="K4">
        <v>37</v>
      </c>
      <c r="L4">
        <v>225</v>
      </c>
      <c r="M4">
        <f t="shared" si="0"/>
        <v>63</v>
      </c>
      <c r="N4">
        <v>91</v>
      </c>
      <c r="O4" t="s">
        <v>86</v>
      </c>
      <c r="P4">
        <f t="shared" si="1"/>
        <v>105</v>
      </c>
      <c r="R4">
        <v>63</v>
      </c>
      <c r="S4">
        <v>105</v>
      </c>
      <c r="U4">
        <f t="shared" si="3"/>
        <v>78.75</v>
      </c>
      <c r="V4">
        <f t="shared" si="4"/>
        <v>131.25</v>
      </c>
      <c r="X4">
        <f t="shared" si="5"/>
        <v>94.5</v>
      </c>
      <c r="Y4">
        <f t="shared" si="6"/>
        <v>157.5</v>
      </c>
      <c r="AA4">
        <f t="shared" si="7"/>
        <v>126</v>
      </c>
      <c r="AB4">
        <f t="shared" si="8"/>
        <v>210</v>
      </c>
      <c r="AD4">
        <f t="shared" si="9"/>
        <v>47.25</v>
      </c>
      <c r="AE4">
        <f t="shared" si="10"/>
        <v>78.75</v>
      </c>
      <c r="AG4">
        <f t="shared" si="11"/>
        <v>31.5</v>
      </c>
      <c r="AH4">
        <f t="shared" si="12"/>
        <v>52.5</v>
      </c>
    </row>
    <row r="5" spans="1:34" x14ac:dyDescent="0.25">
      <c r="A5">
        <v>4</v>
      </c>
      <c r="B5" t="s">
        <v>8</v>
      </c>
      <c r="C5" t="str">
        <f>ASET_data[[#This Row],[ASET_scenario]]&amp;ASET_data[[#This Row],[Corridor_length]]</f>
        <v>A18</v>
      </c>
      <c r="D5" t="str" cm="1">
        <f t="array" ref="D5">INDEX(fire_location_2[fire_location_2],
  MOD(INT((ROW()-ROW($D$2)) / (ROWS(sprinkler_2[sprinkler_2])*ROWS(door_2[door_2])*ROWS(corridor_2[corridor_2]))),
  ROWS(fire_location_2[fire_location_2])) + 1)</f>
        <v>Apartment</v>
      </c>
      <c r="E5" t="str" cm="1">
        <f t="array" ref="E5">INDEX(sprinkler_2[sprinkler_2],
  MOD(INT((ROW()-ROW($D$2)) / (ROWS(door_2[door_2])*ROWS(corridor_2[corridor_2]))),
  ROWS(sprinkler_2[sprinkler_2])) + 1)</f>
        <v>Fail</v>
      </c>
      <c r="F5" t="str" cm="1">
        <f t="array" ref="F5">INDEX(door_2[door_2],
  MOD(INT((ROW()-ROW($D$2)) / ROWS(corridor_2[corridor_2])),
  ROWS(door_2[door_2])) + 1)</f>
        <v>open</v>
      </c>
      <c r="G5" cm="1">
        <f t="array" ref="G5">INDEX(corridor_2[corridor_2],
  MOD(ROW()-ROW($D$2), ROWS(corridor_2[corridor_2])) + 1)</f>
        <v>18</v>
      </c>
      <c r="H5" t="str">
        <f>ASET_data[[#This Row],[Location]]&amp;ASET_data[[#This Row],[Corridor_length]]</f>
        <v>Apartment18</v>
      </c>
      <c r="I5" t="str">
        <f>_xlfn.XLOOKUP(ASET_data[[#This Row],[location_length]],RSET_lookup[location_length],RSET_lookup[RSET_helper])</f>
        <v>A18</v>
      </c>
      <c r="J5" t="str">
        <f t="shared" si="2"/>
        <v>Apartment_Fail_open_18</v>
      </c>
      <c r="K5">
        <v>37</v>
      </c>
      <c r="L5">
        <v>226</v>
      </c>
      <c r="M5">
        <f t="shared" si="0"/>
        <v>63</v>
      </c>
      <c r="N5">
        <v>92</v>
      </c>
      <c r="O5" t="s">
        <v>86</v>
      </c>
      <c r="P5">
        <f t="shared" si="1"/>
        <v>110</v>
      </c>
      <c r="R5">
        <v>63</v>
      </c>
      <c r="S5">
        <v>110</v>
      </c>
      <c r="U5">
        <f t="shared" si="3"/>
        <v>78.75</v>
      </c>
      <c r="V5">
        <f t="shared" si="4"/>
        <v>137.5</v>
      </c>
      <c r="X5">
        <f t="shared" si="5"/>
        <v>94.5</v>
      </c>
      <c r="Y5">
        <f t="shared" si="6"/>
        <v>165</v>
      </c>
      <c r="AA5">
        <f t="shared" si="7"/>
        <v>126</v>
      </c>
      <c r="AB5">
        <f t="shared" si="8"/>
        <v>220</v>
      </c>
      <c r="AD5">
        <f t="shared" si="9"/>
        <v>47.25</v>
      </c>
      <c r="AE5">
        <f t="shared" si="10"/>
        <v>82.5</v>
      </c>
      <c r="AG5">
        <f t="shared" si="11"/>
        <v>31.5</v>
      </c>
      <c r="AH5">
        <f t="shared" si="12"/>
        <v>55</v>
      </c>
    </row>
    <row r="6" spans="1:34" x14ac:dyDescent="0.25">
      <c r="A6">
        <v>5</v>
      </c>
      <c r="B6" t="s">
        <v>8</v>
      </c>
      <c r="C6" t="str">
        <f>ASET_data[[#This Row],[ASET_scenario]]&amp;ASET_data[[#This Row],[Corridor_length]]</f>
        <v>A22</v>
      </c>
      <c r="D6" t="str" cm="1">
        <f t="array" ref="D6">INDEX(fire_location_2[fire_location_2],
  MOD(INT((ROW()-ROW($D$2)) / (ROWS(sprinkler_2[sprinkler_2])*ROWS(door_2[door_2])*ROWS(corridor_2[corridor_2]))),
  ROWS(fire_location_2[fire_location_2])) + 1)</f>
        <v>Apartment</v>
      </c>
      <c r="E6" t="str" cm="1">
        <f t="array" ref="E6">INDEX(sprinkler_2[sprinkler_2],
  MOD(INT((ROW()-ROW($D$2)) / (ROWS(door_2[door_2])*ROWS(corridor_2[corridor_2]))),
  ROWS(sprinkler_2[sprinkler_2])) + 1)</f>
        <v>Fail</v>
      </c>
      <c r="F6" t="str" cm="1">
        <f t="array" ref="F6">INDEX(door_2[door_2],
  MOD(INT((ROW()-ROW($D$2)) / ROWS(corridor_2[corridor_2])),
  ROWS(door_2[door_2])) + 1)</f>
        <v>open</v>
      </c>
      <c r="G6" cm="1">
        <f t="array" ref="G6">INDEX(corridor_2[corridor_2],
  MOD(ROW()-ROW($D$2), ROWS(corridor_2[corridor_2])) + 1)</f>
        <v>22</v>
      </c>
      <c r="H6" t="str">
        <f>ASET_data[[#This Row],[Location]]&amp;ASET_data[[#This Row],[Corridor_length]]</f>
        <v>Apartment22</v>
      </c>
      <c r="I6" t="str">
        <f>_xlfn.XLOOKUP(ASET_data[[#This Row],[location_length]],RSET_lookup[location_length],RSET_lookup[RSET_helper])</f>
        <v>A22</v>
      </c>
      <c r="J6" t="str">
        <f t="shared" si="2"/>
        <v>Apartment_Fail_open_22</v>
      </c>
      <c r="K6">
        <v>37</v>
      </c>
      <c r="L6">
        <v>226</v>
      </c>
      <c r="M6">
        <f t="shared" si="0"/>
        <v>63</v>
      </c>
      <c r="N6">
        <v>92</v>
      </c>
      <c r="O6" t="s">
        <v>86</v>
      </c>
      <c r="P6">
        <f t="shared" si="1"/>
        <v>114</v>
      </c>
      <c r="R6">
        <v>63</v>
      </c>
      <c r="S6">
        <v>114</v>
      </c>
      <c r="U6">
        <f t="shared" si="3"/>
        <v>78.75</v>
      </c>
      <c r="V6">
        <f t="shared" si="4"/>
        <v>142.5</v>
      </c>
      <c r="X6">
        <f t="shared" si="5"/>
        <v>94.5</v>
      </c>
      <c r="Y6">
        <f t="shared" si="6"/>
        <v>171</v>
      </c>
      <c r="AA6">
        <f t="shared" si="7"/>
        <v>126</v>
      </c>
      <c r="AB6">
        <f t="shared" si="8"/>
        <v>228</v>
      </c>
      <c r="AD6">
        <f t="shared" si="9"/>
        <v>47.25</v>
      </c>
      <c r="AE6">
        <f t="shared" si="10"/>
        <v>85.5</v>
      </c>
      <c r="AG6">
        <f t="shared" si="11"/>
        <v>31.5</v>
      </c>
      <c r="AH6">
        <f t="shared" si="12"/>
        <v>57</v>
      </c>
    </row>
    <row r="7" spans="1:34" x14ac:dyDescent="0.25">
      <c r="A7">
        <v>6</v>
      </c>
      <c r="B7" t="s">
        <v>8</v>
      </c>
      <c r="C7" t="str">
        <f>ASET_data[[#This Row],[ASET_scenario]]&amp;ASET_data[[#This Row],[Corridor_length]]</f>
        <v>A26</v>
      </c>
      <c r="D7" t="str" cm="1">
        <f t="array" ref="D7">INDEX(fire_location_2[fire_location_2],
  MOD(INT((ROW()-ROW($D$2)) / (ROWS(sprinkler_2[sprinkler_2])*ROWS(door_2[door_2])*ROWS(corridor_2[corridor_2]))),
  ROWS(fire_location_2[fire_location_2])) + 1)</f>
        <v>Apartment</v>
      </c>
      <c r="E7" t="str" cm="1">
        <f t="array" ref="E7">INDEX(sprinkler_2[sprinkler_2],
  MOD(INT((ROW()-ROW($D$2)) / (ROWS(door_2[door_2])*ROWS(corridor_2[corridor_2]))),
  ROWS(sprinkler_2[sprinkler_2])) + 1)</f>
        <v>Fail</v>
      </c>
      <c r="F7" t="str" cm="1">
        <f t="array" ref="F7">INDEX(door_2[door_2],
  MOD(INT((ROW()-ROW($D$2)) / ROWS(corridor_2[corridor_2])),
  ROWS(door_2[door_2])) + 1)</f>
        <v>open</v>
      </c>
      <c r="G7" cm="1">
        <f t="array" ref="G7">INDEX(corridor_2[corridor_2],
  MOD(ROW()-ROW($D$2), ROWS(corridor_2[corridor_2])) + 1)</f>
        <v>26</v>
      </c>
      <c r="H7" t="str">
        <f>ASET_data[[#This Row],[Location]]&amp;ASET_data[[#This Row],[Corridor_length]]</f>
        <v>Apartment26</v>
      </c>
      <c r="I7" t="str">
        <f>_xlfn.XLOOKUP(ASET_data[[#This Row],[location_length]],RSET_lookup[location_length],RSET_lookup[RSET_helper])</f>
        <v>A26</v>
      </c>
      <c r="J7" t="str">
        <f t="shared" si="2"/>
        <v>Apartment_Fail_open_26</v>
      </c>
      <c r="K7">
        <v>37</v>
      </c>
      <c r="L7">
        <v>226</v>
      </c>
      <c r="M7">
        <f t="shared" si="0"/>
        <v>63</v>
      </c>
      <c r="N7">
        <v>92</v>
      </c>
      <c r="O7" t="s">
        <v>86</v>
      </c>
      <c r="P7">
        <f t="shared" si="1"/>
        <v>118</v>
      </c>
      <c r="R7">
        <v>63</v>
      </c>
      <c r="S7">
        <v>118</v>
      </c>
      <c r="U7">
        <f t="shared" si="3"/>
        <v>78.75</v>
      </c>
      <c r="V7">
        <f t="shared" si="4"/>
        <v>147.5</v>
      </c>
      <c r="X7">
        <f t="shared" si="5"/>
        <v>94.5</v>
      </c>
      <c r="Y7">
        <f t="shared" si="6"/>
        <v>177</v>
      </c>
      <c r="AA7">
        <f t="shared" si="7"/>
        <v>126</v>
      </c>
      <c r="AB7">
        <f t="shared" si="8"/>
        <v>236</v>
      </c>
      <c r="AD7">
        <f t="shared" si="9"/>
        <v>47.25</v>
      </c>
      <c r="AE7">
        <f t="shared" si="10"/>
        <v>88.5</v>
      </c>
      <c r="AG7">
        <f t="shared" si="11"/>
        <v>31.5</v>
      </c>
      <c r="AH7">
        <f t="shared" si="12"/>
        <v>59</v>
      </c>
    </row>
    <row r="8" spans="1:34" x14ac:dyDescent="0.25">
      <c r="A8">
        <v>7</v>
      </c>
      <c r="B8" t="s">
        <v>8</v>
      </c>
      <c r="C8" t="str">
        <f>ASET_data[[#This Row],[ASET_scenario]]&amp;ASET_data[[#This Row],[Corridor_length]]</f>
        <v>A30</v>
      </c>
      <c r="D8" t="str" cm="1">
        <f t="array" ref="D8">INDEX(fire_location_2[fire_location_2],
  MOD(INT((ROW()-ROW($D$2)) / (ROWS(sprinkler_2[sprinkler_2])*ROWS(door_2[door_2])*ROWS(corridor_2[corridor_2]))),
  ROWS(fire_location_2[fire_location_2])) + 1)</f>
        <v>Apartment</v>
      </c>
      <c r="E8" t="str" cm="1">
        <f t="array" ref="E8">INDEX(sprinkler_2[sprinkler_2],
  MOD(INT((ROW()-ROW($D$2)) / (ROWS(door_2[door_2])*ROWS(corridor_2[corridor_2]))),
  ROWS(sprinkler_2[sprinkler_2])) + 1)</f>
        <v>Fail</v>
      </c>
      <c r="F8" t="str" cm="1">
        <f t="array" ref="F8">INDEX(door_2[door_2],
  MOD(INT((ROW()-ROW($D$2)) / ROWS(corridor_2[corridor_2])),
  ROWS(door_2[door_2])) + 1)</f>
        <v>open</v>
      </c>
      <c r="G8" cm="1">
        <f t="array" ref="G8">INDEX(corridor_2[corridor_2],
  MOD(ROW()-ROW($D$2), ROWS(corridor_2[corridor_2])) + 1)</f>
        <v>30</v>
      </c>
      <c r="H8" t="str">
        <f>ASET_data[[#This Row],[Location]]&amp;ASET_data[[#This Row],[Corridor_length]]</f>
        <v>Apartment30</v>
      </c>
      <c r="I8" t="str">
        <f>_xlfn.XLOOKUP(ASET_data[[#This Row],[location_length]],RSET_lookup[location_length],RSET_lookup[RSET_helper])</f>
        <v>A30</v>
      </c>
      <c r="J8" t="str">
        <f t="shared" si="2"/>
        <v>Apartment_Fail_open_30</v>
      </c>
      <c r="K8">
        <v>37</v>
      </c>
      <c r="L8">
        <v>226</v>
      </c>
      <c r="M8">
        <f t="shared" si="0"/>
        <v>63</v>
      </c>
      <c r="N8">
        <v>92</v>
      </c>
      <c r="O8" t="s">
        <v>86</v>
      </c>
      <c r="P8">
        <f t="shared" si="1"/>
        <v>122</v>
      </c>
      <c r="R8">
        <v>63</v>
      </c>
      <c r="S8">
        <v>122</v>
      </c>
      <c r="U8">
        <f t="shared" si="3"/>
        <v>78.75</v>
      </c>
      <c r="V8">
        <f t="shared" si="4"/>
        <v>152.5</v>
      </c>
      <c r="X8">
        <f t="shared" si="5"/>
        <v>94.5</v>
      </c>
      <c r="Y8">
        <f t="shared" si="6"/>
        <v>183</v>
      </c>
      <c r="AA8">
        <f t="shared" si="7"/>
        <v>126</v>
      </c>
      <c r="AB8">
        <f t="shared" si="8"/>
        <v>244</v>
      </c>
      <c r="AD8">
        <f t="shared" si="9"/>
        <v>47.25</v>
      </c>
      <c r="AE8">
        <f t="shared" si="10"/>
        <v>91.5</v>
      </c>
      <c r="AG8">
        <f t="shared" si="11"/>
        <v>31.5</v>
      </c>
      <c r="AH8">
        <f t="shared" si="12"/>
        <v>61</v>
      </c>
    </row>
    <row r="9" spans="1:34" x14ac:dyDescent="0.25">
      <c r="A9">
        <v>8</v>
      </c>
      <c r="B9" t="s">
        <v>98</v>
      </c>
      <c r="C9" t="str">
        <f>ASET_data[[#This Row],[ASET_scenario]]&amp;ASET_data[[#This Row],[Corridor_length]]</f>
        <v>B6</v>
      </c>
      <c r="D9" t="str" cm="1">
        <f t="array" ref="D9">INDEX(fire_location_2[fire_location_2],
  MOD(INT((ROW()-ROW($D$2)) / (ROWS(sprinkler_2[sprinkler_2])*ROWS(door_2[door_2])*ROWS(corridor_2[corridor_2]))),
  ROWS(fire_location_2[fire_location_2])) + 1)</f>
        <v>Apartment</v>
      </c>
      <c r="E9" t="str" cm="1">
        <f t="array" ref="E9">INDEX(sprinkler_2[sprinkler_2],
  MOD(INT((ROW()-ROW($D$2)) / (ROWS(door_2[door_2])*ROWS(corridor_2[corridor_2]))),
  ROWS(sprinkler_2[sprinkler_2])) + 1)</f>
        <v>Fail</v>
      </c>
      <c r="F9" t="str" cm="1">
        <f t="array" ref="F9">INDEX(door_2[door_2],
  MOD(INT((ROW()-ROW($D$2)) / ROWS(corridor_2[corridor_2])),
  ROWS(door_2[door_2])) + 1)</f>
        <v>close</v>
      </c>
      <c r="G9" cm="1">
        <f t="array" ref="G9">INDEX(corridor_2[corridor_2],
  MOD(ROW()-ROW($D$2), ROWS(corridor_2[corridor_2])) + 1)</f>
        <v>6</v>
      </c>
      <c r="H9" t="str">
        <f>ASET_data[[#This Row],[Location]]&amp;ASET_data[[#This Row],[Corridor_length]]</f>
        <v>Apartment6</v>
      </c>
      <c r="I9" t="str">
        <f>_xlfn.XLOOKUP(ASET_data[[#This Row],[location_length]],RSET_lookup[location_length],RSET_lookup[RSET_helper])</f>
        <v>A6</v>
      </c>
      <c r="J9" t="str">
        <f t="shared" si="2"/>
        <v>Apartment_Fail_close_6</v>
      </c>
      <c r="K9">
        <v>37</v>
      </c>
      <c r="L9">
        <v>221</v>
      </c>
      <c r="M9">
        <f t="shared" si="0"/>
        <v>63</v>
      </c>
      <c r="N9">
        <f>ASET_data[[#This Row],[apt_SD]]+300</f>
        <v>337</v>
      </c>
      <c r="O9" t="s">
        <v>86</v>
      </c>
      <c r="P9">
        <f t="shared" si="1"/>
        <v>3600</v>
      </c>
      <c r="R9">
        <v>63</v>
      </c>
      <c r="S9">
        <f t="shared" ref="S9:S15" si="13">60*60</f>
        <v>3600</v>
      </c>
      <c r="U9">
        <f t="shared" si="3"/>
        <v>78.75</v>
      </c>
      <c r="V9">
        <f t="shared" si="4"/>
        <v>4500</v>
      </c>
      <c r="X9">
        <f t="shared" si="5"/>
        <v>94.5</v>
      </c>
      <c r="Y9">
        <f t="shared" si="6"/>
        <v>5400</v>
      </c>
      <c r="AA9">
        <f t="shared" si="7"/>
        <v>126</v>
      </c>
      <c r="AB9">
        <f t="shared" si="8"/>
        <v>7200</v>
      </c>
      <c r="AD9">
        <f t="shared" si="9"/>
        <v>47.25</v>
      </c>
      <c r="AE9">
        <f t="shared" si="10"/>
        <v>2700</v>
      </c>
      <c r="AG9">
        <f t="shared" si="11"/>
        <v>31.5</v>
      </c>
      <c r="AH9">
        <f t="shared" si="12"/>
        <v>1800</v>
      </c>
    </row>
    <row r="10" spans="1:34" x14ac:dyDescent="0.25">
      <c r="A10">
        <v>9</v>
      </c>
      <c r="B10" t="s">
        <v>98</v>
      </c>
      <c r="C10" t="str">
        <f>ASET_data[[#This Row],[ASET_scenario]]&amp;ASET_data[[#This Row],[Corridor_length]]</f>
        <v>B10</v>
      </c>
      <c r="D10" t="str" cm="1">
        <f t="array" ref="D10">INDEX(fire_location_2[fire_location_2],
  MOD(INT((ROW()-ROW($D$2)) / (ROWS(sprinkler_2[sprinkler_2])*ROWS(door_2[door_2])*ROWS(corridor_2[corridor_2]))),
  ROWS(fire_location_2[fire_location_2])) + 1)</f>
        <v>Apartment</v>
      </c>
      <c r="E10" t="str" cm="1">
        <f t="array" ref="E10">INDEX(sprinkler_2[sprinkler_2],
  MOD(INT((ROW()-ROW($D$2)) / (ROWS(door_2[door_2])*ROWS(corridor_2[corridor_2]))),
  ROWS(sprinkler_2[sprinkler_2])) + 1)</f>
        <v>Fail</v>
      </c>
      <c r="F10" t="str" cm="1">
        <f t="array" ref="F10">INDEX(door_2[door_2],
  MOD(INT((ROW()-ROW($D$2)) / ROWS(corridor_2[corridor_2])),
  ROWS(door_2[door_2])) + 1)</f>
        <v>close</v>
      </c>
      <c r="G10" cm="1">
        <f t="array" ref="G10">INDEX(corridor_2[corridor_2],
  MOD(ROW()-ROW($D$2), ROWS(corridor_2[corridor_2])) + 1)</f>
        <v>10</v>
      </c>
      <c r="H10" t="str">
        <f>ASET_data[[#This Row],[Location]]&amp;ASET_data[[#This Row],[Corridor_length]]</f>
        <v>Apartment10</v>
      </c>
      <c r="I10" t="str">
        <f>_xlfn.XLOOKUP(ASET_data[[#This Row],[location_length]],RSET_lookup[location_length],RSET_lookup[RSET_helper])</f>
        <v>A10</v>
      </c>
      <c r="J10" t="str">
        <f t="shared" si="2"/>
        <v>Apartment_Fail_close_10</v>
      </c>
      <c r="K10">
        <v>37</v>
      </c>
      <c r="L10">
        <v>221</v>
      </c>
      <c r="M10">
        <f t="shared" si="0"/>
        <v>63</v>
      </c>
      <c r="N10">
        <f>ASET_data[[#This Row],[apt_SD]]+300</f>
        <v>337</v>
      </c>
      <c r="O10" t="s">
        <v>86</v>
      </c>
      <c r="P10">
        <f t="shared" si="1"/>
        <v>3600</v>
      </c>
      <c r="R10">
        <v>63</v>
      </c>
      <c r="S10">
        <f t="shared" si="13"/>
        <v>3600</v>
      </c>
      <c r="U10">
        <f t="shared" si="3"/>
        <v>78.75</v>
      </c>
      <c r="V10">
        <f t="shared" si="4"/>
        <v>4500</v>
      </c>
      <c r="X10">
        <f t="shared" si="5"/>
        <v>94.5</v>
      </c>
      <c r="Y10">
        <f t="shared" si="6"/>
        <v>5400</v>
      </c>
      <c r="AA10">
        <f t="shared" si="7"/>
        <v>126</v>
      </c>
      <c r="AB10">
        <f t="shared" si="8"/>
        <v>7200</v>
      </c>
      <c r="AD10">
        <f t="shared" si="9"/>
        <v>47.25</v>
      </c>
      <c r="AE10">
        <f t="shared" si="10"/>
        <v>2700</v>
      </c>
      <c r="AG10">
        <f t="shared" si="11"/>
        <v>31.5</v>
      </c>
      <c r="AH10">
        <f t="shared" si="12"/>
        <v>1800</v>
      </c>
    </row>
    <row r="11" spans="1:34" x14ac:dyDescent="0.25">
      <c r="A11">
        <v>10</v>
      </c>
      <c r="B11" t="s">
        <v>98</v>
      </c>
      <c r="C11" t="str">
        <f>ASET_data[[#This Row],[ASET_scenario]]&amp;ASET_data[[#This Row],[Corridor_length]]</f>
        <v>B14</v>
      </c>
      <c r="D11" t="str" cm="1">
        <f t="array" ref="D11">INDEX(fire_location_2[fire_location_2],
  MOD(INT((ROW()-ROW($D$2)) / (ROWS(sprinkler_2[sprinkler_2])*ROWS(door_2[door_2])*ROWS(corridor_2[corridor_2]))),
  ROWS(fire_location_2[fire_location_2])) + 1)</f>
        <v>Apartment</v>
      </c>
      <c r="E11" t="str" cm="1">
        <f t="array" ref="E11">INDEX(sprinkler_2[sprinkler_2],
  MOD(INT((ROW()-ROW($D$2)) / (ROWS(door_2[door_2])*ROWS(corridor_2[corridor_2]))),
  ROWS(sprinkler_2[sprinkler_2])) + 1)</f>
        <v>Fail</v>
      </c>
      <c r="F11" t="str" cm="1">
        <f t="array" ref="F11">INDEX(door_2[door_2],
  MOD(INT((ROW()-ROW($D$2)) / ROWS(corridor_2[corridor_2])),
  ROWS(door_2[door_2])) + 1)</f>
        <v>close</v>
      </c>
      <c r="G11" cm="1">
        <f t="array" ref="G11">INDEX(corridor_2[corridor_2],
  MOD(ROW()-ROW($D$2), ROWS(corridor_2[corridor_2])) + 1)</f>
        <v>14</v>
      </c>
      <c r="H11" t="str">
        <f>ASET_data[[#This Row],[Location]]&amp;ASET_data[[#This Row],[Corridor_length]]</f>
        <v>Apartment14</v>
      </c>
      <c r="I11" t="str">
        <f>_xlfn.XLOOKUP(ASET_data[[#This Row],[location_length]],RSET_lookup[location_length],RSET_lookup[RSET_helper])</f>
        <v>A14</v>
      </c>
      <c r="J11" t="str">
        <f t="shared" si="2"/>
        <v>Apartment_Fail_close_14</v>
      </c>
      <c r="K11">
        <v>37</v>
      </c>
      <c r="L11">
        <v>221</v>
      </c>
      <c r="M11">
        <f t="shared" si="0"/>
        <v>63</v>
      </c>
      <c r="N11">
        <f>ASET_data[[#This Row],[apt_SD]]+300</f>
        <v>337</v>
      </c>
      <c r="O11" t="s">
        <v>86</v>
      </c>
      <c r="P11">
        <f t="shared" si="1"/>
        <v>3600</v>
      </c>
      <c r="R11">
        <v>63</v>
      </c>
      <c r="S11">
        <f t="shared" si="13"/>
        <v>3600</v>
      </c>
      <c r="U11">
        <f t="shared" si="3"/>
        <v>78.75</v>
      </c>
      <c r="V11">
        <f t="shared" si="4"/>
        <v>4500</v>
      </c>
      <c r="X11">
        <f t="shared" si="5"/>
        <v>94.5</v>
      </c>
      <c r="Y11">
        <f t="shared" si="6"/>
        <v>5400</v>
      </c>
      <c r="AA11">
        <f t="shared" si="7"/>
        <v>126</v>
      </c>
      <c r="AB11">
        <f t="shared" si="8"/>
        <v>7200</v>
      </c>
      <c r="AD11">
        <f t="shared" si="9"/>
        <v>47.25</v>
      </c>
      <c r="AE11">
        <f t="shared" si="10"/>
        <v>2700</v>
      </c>
      <c r="AG11">
        <f t="shared" si="11"/>
        <v>31.5</v>
      </c>
      <c r="AH11">
        <f t="shared" si="12"/>
        <v>1800</v>
      </c>
    </row>
    <row r="12" spans="1:34" x14ac:dyDescent="0.25">
      <c r="A12">
        <v>11</v>
      </c>
      <c r="B12" t="s">
        <v>98</v>
      </c>
      <c r="C12" t="str">
        <f>ASET_data[[#This Row],[ASET_scenario]]&amp;ASET_data[[#This Row],[Corridor_length]]</f>
        <v>B18</v>
      </c>
      <c r="D12" t="str" cm="1">
        <f t="array" ref="D12">INDEX(fire_location_2[fire_location_2],
  MOD(INT((ROW()-ROW($D$2)) / (ROWS(sprinkler_2[sprinkler_2])*ROWS(door_2[door_2])*ROWS(corridor_2[corridor_2]))),
  ROWS(fire_location_2[fire_location_2])) + 1)</f>
        <v>Apartment</v>
      </c>
      <c r="E12" t="str" cm="1">
        <f t="array" ref="E12">INDEX(sprinkler_2[sprinkler_2],
  MOD(INT((ROW()-ROW($D$2)) / (ROWS(door_2[door_2])*ROWS(corridor_2[corridor_2]))),
  ROWS(sprinkler_2[sprinkler_2])) + 1)</f>
        <v>Fail</v>
      </c>
      <c r="F12" t="str" cm="1">
        <f t="array" ref="F12">INDEX(door_2[door_2],
  MOD(INT((ROW()-ROW($D$2)) / ROWS(corridor_2[corridor_2])),
  ROWS(door_2[door_2])) + 1)</f>
        <v>close</v>
      </c>
      <c r="G12" cm="1">
        <f t="array" ref="G12">INDEX(corridor_2[corridor_2],
  MOD(ROW()-ROW($D$2), ROWS(corridor_2[corridor_2])) + 1)</f>
        <v>18</v>
      </c>
      <c r="H12" t="str">
        <f>ASET_data[[#This Row],[Location]]&amp;ASET_data[[#This Row],[Corridor_length]]</f>
        <v>Apartment18</v>
      </c>
      <c r="I12" t="str">
        <f>_xlfn.XLOOKUP(ASET_data[[#This Row],[location_length]],RSET_lookup[location_length],RSET_lookup[RSET_helper])</f>
        <v>A18</v>
      </c>
      <c r="J12" t="str">
        <f t="shared" si="2"/>
        <v>Apartment_Fail_close_18</v>
      </c>
      <c r="K12">
        <v>37</v>
      </c>
      <c r="L12">
        <v>221</v>
      </c>
      <c r="M12">
        <f t="shared" si="0"/>
        <v>63</v>
      </c>
      <c r="N12">
        <f>ASET_data[[#This Row],[apt_SD]]+300</f>
        <v>337</v>
      </c>
      <c r="O12" t="s">
        <v>86</v>
      </c>
      <c r="P12">
        <f t="shared" si="1"/>
        <v>3600</v>
      </c>
      <c r="R12">
        <v>63</v>
      </c>
      <c r="S12">
        <f t="shared" si="13"/>
        <v>3600</v>
      </c>
      <c r="U12">
        <f t="shared" si="3"/>
        <v>78.75</v>
      </c>
      <c r="V12">
        <f t="shared" si="4"/>
        <v>4500</v>
      </c>
      <c r="X12">
        <f t="shared" si="5"/>
        <v>94.5</v>
      </c>
      <c r="Y12">
        <f t="shared" si="6"/>
        <v>5400</v>
      </c>
      <c r="AA12">
        <f t="shared" si="7"/>
        <v>126</v>
      </c>
      <c r="AB12">
        <f t="shared" si="8"/>
        <v>7200</v>
      </c>
      <c r="AD12">
        <f t="shared" si="9"/>
        <v>47.25</v>
      </c>
      <c r="AE12">
        <f t="shared" si="10"/>
        <v>2700</v>
      </c>
      <c r="AG12">
        <f t="shared" si="11"/>
        <v>31.5</v>
      </c>
      <c r="AH12">
        <f t="shared" si="12"/>
        <v>1800</v>
      </c>
    </row>
    <row r="13" spans="1:34" x14ac:dyDescent="0.25">
      <c r="A13">
        <v>12</v>
      </c>
      <c r="B13" t="s">
        <v>98</v>
      </c>
      <c r="C13" t="str">
        <f>ASET_data[[#This Row],[ASET_scenario]]&amp;ASET_data[[#This Row],[Corridor_length]]</f>
        <v>B22</v>
      </c>
      <c r="D13" t="str" cm="1">
        <f t="array" ref="D13">INDEX(fire_location_2[fire_location_2],
  MOD(INT((ROW()-ROW($D$2)) / (ROWS(sprinkler_2[sprinkler_2])*ROWS(door_2[door_2])*ROWS(corridor_2[corridor_2]))),
  ROWS(fire_location_2[fire_location_2])) + 1)</f>
        <v>Apartment</v>
      </c>
      <c r="E13" t="str" cm="1">
        <f t="array" ref="E13">INDEX(sprinkler_2[sprinkler_2],
  MOD(INT((ROW()-ROW($D$2)) / (ROWS(door_2[door_2])*ROWS(corridor_2[corridor_2]))),
  ROWS(sprinkler_2[sprinkler_2])) + 1)</f>
        <v>Fail</v>
      </c>
      <c r="F13" t="str" cm="1">
        <f t="array" ref="F13">INDEX(door_2[door_2],
  MOD(INT((ROW()-ROW($D$2)) / ROWS(corridor_2[corridor_2])),
  ROWS(door_2[door_2])) + 1)</f>
        <v>close</v>
      </c>
      <c r="G13" cm="1">
        <f t="array" ref="G13">INDEX(corridor_2[corridor_2],
  MOD(ROW()-ROW($D$2), ROWS(corridor_2[corridor_2])) + 1)</f>
        <v>22</v>
      </c>
      <c r="H13" t="str">
        <f>ASET_data[[#This Row],[Location]]&amp;ASET_data[[#This Row],[Corridor_length]]</f>
        <v>Apartment22</v>
      </c>
      <c r="I13" t="str">
        <f>_xlfn.XLOOKUP(ASET_data[[#This Row],[location_length]],RSET_lookup[location_length],RSET_lookup[RSET_helper])</f>
        <v>A22</v>
      </c>
      <c r="J13" t="str">
        <f t="shared" si="2"/>
        <v>Apartment_Fail_close_22</v>
      </c>
      <c r="K13">
        <v>37</v>
      </c>
      <c r="L13">
        <v>221</v>
      </c>
      <c r="M13">
        <f t="shared" si="0"/>
        <v>63</v>
      </c>
      <c r="N13">
        <f>ASET_data[[#This Row],[apt_SD]]+300</f>
        <v>337</v>
      </c>
      <c r="O13" t="s">
        <v>86</v>
      </c>
      <c r="P13">
        <f t="shared" si="1"/>
        <v>3600</v>
      </c>
      <c r="R13">
        <v>63</v>
      </c>
      <c r="S13">
        <f t="shared" si="13"/>
        <v>3600</v>
      </c>
      <c r="U13">
        <f t="shared" si="3"/>
        <v>78.75</v>
      </c>
      <c r="V13">
        <f t="shared" si="4"/>
        <v>4500</v>
      </c>
      <c r="X13">
        <f t="shared" si="5"/>
        <v>94.5</v>
      </c>
      <c r="Y13">
        <f t="shared" si="6"/>
        <v>5400</v>
      </c>
      <c r="AA13">
        <f t="shared" si="7"/>
        <v>126</v>
      </c>
      <c r="AB13">
        <f t="shared" si="8"/>
        <v>7200</v>
      </c>
      <c r="AD13">
        <f t="shared" si="9"/>
        <v>47.25</v>
      </c>
      <c r="AE13">
        <f t="shared" si="10"/>
        <v>2700</v>
      </c>
      <c r="AG13">
        <f t="shared" si="11"/>
        <v>31.5</v>
      </c>
      <c r="AH13">
        <f t="shared" si="12"/>
        <v>1800</v>
      </c>
    </row>
    <row r="14" spans="1:34" x14ac:dyDescent="0.25">
      <c r="A14">
        <v>13</v>
      </c>
      <c r="B14" t="s">
        <v>98</v>
      </c>
      <c r="C14" t="str">
        <f>ASET_data[[#This Row],[ASET_scenario]]&amp;ASET_data[[#This Row],[Corridor_length]]</f>
        <v>B26</v>
      </c>
      <c r="D14" t="str" cm="1">
        <f t="array" ref="D14">INDEX(fire_location_2[fire_location_2],
  MOD(INT((ROW()-ROW($D$2)) / (ROWS(sprinkler_2[sprinkler_2])*ROWS(door_2[door_2])*ROWS(corridor_2[corridor_2]))),
  ROWS(fire_location_2[fire_location_2])) + 1)</f>
        <v>Apartment</v>
      </c>
      <c r="E14" t="str" cm="1">
        <f t="array" ref="E14">INDEX(sprinkler_2[sprinkler_2],
  MOD(INT((ROW()-ROW($D$2)) / (ROWS(door_2[door_2])*ROWS(corridor_2[corridor_2]))),
  ROWS(sprinkler_2[sprinkler_2])) + 1)</f>
        <v>Fail</v>
      </c>
      <c r="F14" t="str" cm="1">
        <f t="array" ref="F14">INDEX(door_2[door_2],
  MOD(INT((ROW()-ROW($D$2)) / ROWS(corridor_2[corridor_2])),
  ROWS(door_2[door_2])) + 1)</f>
        <v>close</v>
      </c>
      <c r="G14" cm="1">
        <f t="array" ref="G14">INDEX(corridor_2[corridor_2],
  MOD(ROW()-ROW($D$2), ROWS(corridor_2[corridor_2])) + 1)</f>
        <v>26</v>
      </c>
      <c r="H14" t="str">
        <f>ASET_data[[#This Row],[Location]]&amp;ASET_data[[#This Row],[Corridor_length]]</f>
        <v>Apartment26</v>
      </c>
      <c r="I14" t="str">
        <f>_xlfn.XLOOKUP(ASET_data[[#This Row],[location_length]],RSET_lookup[location_length],RSET_lookup[RSET_helper])</f>
        <v>A26</v>
      </c>
      <c r="J14" t="str">
        <f t="shared" si="2"/>
        <v>Apartment_Fail_close_26</v>
      </c>
      <c r="K14">
        <v>37</v>
      </c>
      <c r="L14">
        <v>221</v>
      </c>
      <c r="M14">
        <f t="shared" si="0"/>
        <v>63</v>
      </c>
      <c r="N14">
        <f>ASET_data[[#This Row],[apt_SD]]+300</f>
        <v>337</v>
      </c>
      <c r="O14" t="s">
        <v>86</v>
      </c>
      <c r="P14">
        <f t="shared" si="1"/>
        <v>3600</v>
      </c>
      <c r="R14">
        <v>63</v>
      </c>
      <c r="S14">
        <f t="shared" si="13"/>
        <v>3600</v>
      </c>
      <c r="U14">
        <f t="shared" si="3"/>
        <v>78.75</v>
      </c>
      <c r="V14">
        <f t="shared" si="4"/>
        <v>4500</v>
      </c>
      <c r="X14">
        <f t="shared" si="5"/>
        <v>94.5</v>
      </c>
      <c r="Y14">
        <f t="shared" si="6"/>
        <v>5400</v>
      </c>
      <c r="AA14">
        <f t="shared" si="7"/>
        <v>126</v>
      </c>
      <c r="AB14">
        <f t="shared" si="8"/>
        <v>7200</v>
      </c>
      <c r="AD14">
        <f t="shared" si="9"/>
        <v>47.25</v>
      </c>
      <c r="AE14">
        <f t="shared" si="10"/>
        <v>2700</v>
      </c>
      <c r="AG14">
        <f t="shared" si="11"/>
        <v>31.5</v>
      </c>
      <c r="AH14">
        <f t="shared" si="12"/>
        <v>1800</v>
      </c>
    </row>
    <row r="15" spans="1:34" x14ac:dyDescent="0.25">
      <c r="A15">
        <v>14</v>
      </c>
      <c r="B15" t="s">
        <v>98</v>
      </c>
      <c r="C15" t="str">
        <f>ASET_data[[#This Row],[ASET_scenario]]&amp;ASET_data[[#This Row],[Corridor_length]]</f>
        <v>B30</v>
      </c>
      <c r="D15" t="str" cm="1">
        <f t="array" ref="D15">INDEX(fire_location_2[fire_location_2],
  MOD(INT((ROW()-ROW($D$2)) / (ROWS(sprinkler_2[sprinkler_2])*ROWS(door_2[door_2])*ROWS(corridor_2[corridor_2]))),
  ROWS(fire_location_2[fire_location_2])) + 1)</f>
        <v>Apartment</v>
      </c>
      <c r="E15" t="str" cm="1">
        <f t="array" ref="E15">INDEX(sprinkler_2[sprinkler_2],
  MOD(INT((ROW()-ROW($D$2)) / (ROWS(door_2[door_2])*ROWS(corridor_2[corridor_2]))),
  ROWS(sprinkler_2[sprinkler_2])) + 1)</f>
        <v>Fail</v>
      </c>
      <c r="F15" t="str" cm="1">
        <f t="array" ref="F15">INDEX(door_2[door_2],
  MOD(INT((ROW()-ROW($D$2)) / ROWS(corridor_2[corridor_2])),
  ROWS(door_2[door_2])) + 1)</f>
        <v>close</v>
      </c>
      <c r="G15" cm="1">
        <f t="array" ref="G15">INDEX(corridor_2[corridor_2],
  MOD(ROW()-ROW($D$2), ROWS(corridor_2[corridor_2])) + 1)</f>
        <v>30</v>
      </c>
      <c r="H15" t="str">
        <f>ASET_data[[#This Row],[Location]]&amp;ASET_data[[#This Row],[Corridor_length]]</f>
        <v>Apartment30</v>
      </c>
      <c r="I15" t="str">
        <f>_xlfn.XLOOKUP(ASET_data[[#This Row],[location_length]],RSET_lookup[location_length],RSET_lookup[RSET_helper])</f>
        <v>A30</v>
      </c>
      <c r="J15" t="str">
        <f t="shared" si="2"/>
        <v>Apartment_Fail_close_30</v>
      </c>
      <c r="K15">
        <v>37</v>
      </c>
      <c r="L15">
        <v>221</v>
      </c>
      <c r="M15">
        <f t="shared" si="0"/>
        <v>63</v>
      </c>
      <c r="N15">
        <f>ASET_data[[#This Row],[apt_SD]]+300</f>
        <v>337</v>
      </c>
      <c r="O15" t="s">
        <v>86</v>
      </c>
      <c r="P15">
        <f t="shared" si="1"/>
        <v>3600</v>
      </c>
      <c r="R15">
        <v>63</v>
      </c>
      <c r="S15">
        <f t="shared" si="13"/>
        <v>3600</v>
      </c>
      <c r="U15">
        <f t="shared" si="3"/>
        <v>78.75</v>
      </c>
      <c r="V15">
        <f t="shared" si="4"/>
        <v>4500</v>
      </c>
      <c r="X15">
        <f t="shared" si="5"/>
        <v>94.5</v>
      </c>
      <c r="Y15">
        <f t="shared" si="6"/>
        <v>5400</v>
      </c>
      <c r="AA15">
        <f t="shared" si="7"/>
        <v>126</v>
      </c>
      <c r="AB15">
        <f t="shared" si="8"/>
        <v>7200</v>
      </c>
      <c r="AD15">
        <f t="shared" si="9"/>
        <v>47.25</v>
      </c>
      <c r="AE15">
        <f t="shared" si="10"/>
        <v>2700</v>
      </c>
      <c r="AG15">
        <f t="shared" si="11"/>
        <v>31.5</v>
      </c>
      <c r="AH15">
        <f t="shared" si="12"/>
        <v>1800</v>
      </c>
    </row>
    <row r="16" spans="1:34" x14ac:dyDescent="0.25">
      <c r="A16">
        <v>15</v>
      </c>
      <c r="B16" t="s">
        <v>99</v>
      </c>
      <c r="C16" t="str">
        <f>ASET_data[[#This Row],[ASET_scenario]]&amp;ASET_data[[#This Row],[Corridor_length]]</f>
        <v>C6</v>
      </c>
      <c r="D16" t="str" cm="1">
        <f t="array" ref="D16">INDEX(fire_location_2[fire_location_2],
  MOD(INT((ROW()-ROW($D$2)) / (ROWS(sprinkler_2[sprinkler_2])*ROWS(door_2[door_2])*ROWS(corridor_2[corridor_2]))),
  ROWS(fire_location_2[fire_location_2])) + 1)</f>
        <v>Apartment</v>
      </c>
      <c r="E16" t="str" cm="1">
        <f t="array" ref="E16">INDEX(sprinkler_2[sprinkler_2],
  MOD(INT((ROW()-ROW($D$2)) / (ROWS(door_2[door_2])*ROWS(corridor_2[corridor_2]))),
  ROWS(sprinkler_2[sprinkler_2])) + 1)</f>
        <v>Fail</v>
      </c>
      <c r="F16" t="str" cm="1">
        <f t="array" ref="F16">INDEX(door_2[door_2],
  MOD(INT((ROW()-ROW($D$2)) / ROWS(corridor_2[corridor_2])),
  ROWS(door_2[door_2])) + 1)</f>
        <v>part</v>
      </c>
      <c r="G16" cm="1">
        <f t="array" ref="G16">INDEX(corridor_2[corridor_2],
  MOD(ROW()-ROW($D$2), ROWS(corridor_2[corridor_2])) + 1)</f>
        <v>6</v>
      </c>
      <c r="H16" t="str">
        <f>ASET_data[[#This Row],[Location]]&amp;ASET_data[[#This Row],[Corridor_length]]</f>
        <v>Apartment6</v>
      </c>
      <c r="I16" t="str">
        <f>_xlfn.XLOOKUP(ASET_data[[#This Row],[location_length]],RSET_lookup[location_length],RSET_lookup[RSET_helper])</f>
        <v>A6</v>
      </c>
      <c r="J16" t="str">
        <f t="shared" si="2"/>
        <v>Apartment_Fail_part_6</v>
      </c>
      <c r="K16">
        <v>37</v>
      </c>
      <c r="L16">
        <v>221</v>
      </c>
      <c r="M16">
        <f t="shared" si="0"/>
        <v>63</v>
      </c>
      <c r="N16">
        <v>108</v>
      </c>
      <c r="O16" t="s">
        <v>86</v>
      </c>
      <c r="P16">
        <f t="shared" si="1"/>
        <v>125</v>
      </c>
      <c r="R16">
        <v>63</v>
      </c>
      <c r="S16">
        <v>125</v>
      </c>
      <c r="U16">
        <f t="shared" si="3"/>
        <v>78.75</v>
      </c>
      <c r="V16">
        <f t="shared" si="4"/>
        <v>156.25</v>
      </c>
      <c r="X16">
        <f t="shared" si="5"/>
        <v>94.5</v>
      </c>
      <c r="Y16">
        <f t="shared" si="6"/>
        <v>187.5</v>
      </c>
      <c r="AA16">
        <f t="shared" si="7"/>
        <v>126</v>
      </c>
      <c r="AB16">
        <f t="shared" si="8"/>
        <v>250</v>
      </c>
      <c r="AD16">
        <f t="shared" si="9"/>
        <v>47.25</v>
      </c>
      <c r="AE16">
        <f t="shared" si="10"/>
        <v>93.75</v>
      </c>
      <c r="AG16">
        <f t="shared" si="11"/>
        <v>31.5</v>
      </c>
      <c r="AH16">
        <f t="shared" si="12"/>
        <v>62.5</v>
      </c>
    </row>
    <row r="17" spans="1:34" x14ac:dyDescent="0.25">
      <c r="A17">
        <v>16</v>
      </c>
      <c r="B17" t="s">
        <v>99</v>
      </c>
      <c r="C17" t="str">
        <f>ASET_data[[#This Row],[ASET_scenario]]&amp;ASET_data[[#This Row],[Corridor_length]]</f>
        <v>C10</v>
      </c>
      <c r="D17" t="str" cm="1">
        <f t="array" ref="D17">INDEX(fire_location_2[fire_location_2],
  MOD(INT((ROW()-ROW($D$2)) / (ROWS(sprinkler_2[sprinkler_2])*ROWS(door_2[door_2])*ROWS(corridor_2[corridor_2]))),
  ROWS(fire_location_2[fire_location_2])) + 1)</f>
        <v>Apartment</v>
      </c>
      <c r="E17" t="str" cm="1">
        <f t="array" ref="E17">INDEX(sprinkler_2[sprinkler_2],
  MOD(INT((ROW()-ROW($D$2)) / (ROWS(door_2[door_2])*ROWS(corridor_2[corridor_2]))),
  ROWS(sprinkler_2[sprinkler_2])) + 1)</f>
        <v>Fail</v>
      </c>
      <c r="F17" t="str" cm="1">
        <f t="array" ref="F17">INDEX(door_2[door_2],
  MOD(INT((ROW()-ROW($D$2)) / ROWS(corridor_2[corridor_2])),
  ROWS(door_2[door_2])) + 1)</f>
        <v>part</v>
      </c>
      <c r="G17" cm="1">
        <f t="array" ref="G17">INDEX(corridor_2[corridor_2],
  MOD(ROW()-ROW($D$2), ROWS(corridor_2[corridor_2])) + 1)</f>
        <v>10</v>
      </c>
      <c r="H17" t="str">
        <f>ASET_data[[#This Row],[Location]]&amp;ASET_data[[#This Row],[Corridor_length]]</f>
        <v>Apartment10</v>
      </c>
      <c r="I17" t="str">
        <f>_xlfn.XLOOKUP(ASET_data[[#This Row],[location_length]],RSET_lookup[location_length],RSET_lookup[RSET_helper])</f>
        <v>A10</v>
      </c>
      <c r="J17" t="str">
        <f t="shared" si="2"/>
        <v>Apartment_Fail_part_10</v>
      </c>
      <c r="K17">
        <v>37</v>
      </c>
      <c r="L17">
        <v>221</v>
      </c>
      <c r="M17">
        <f t="shared" si="0"/>
        <v>63</v>
      </c>
      <c r="N17">
        <v>115</v>
      </c>
      <c r="O17" t="s">
        <v>86</v>
      </c>
      <c r="P17">
        <f t="shared" si="1"/>
        <v>143</v>
      </c>
      <c r="R17">
        <v>63</v>
      </c>
      <c r="S17">
        <v>143</v>
      </c>
      <c r="U17">
        <f t="shared" si="3"/>
        <v>78.75</v>
      </c>
      <c r="V17">
        <f t="shared" si="4"/>
        <v>178.75</v>
      </c>
      <c r="X17">
        <f t="shared" si="5"/>
        <v>94.5</v>
      </c>
      <c r="Y17">
        <f t="shared" si="6"/>
        <v>214.5</v>
      </c>
      <c r="AA17">
        <f t="shared" si="7"/>
        <v>126</v>
      </c>
      <c r="AB17">
        <f t="shared" si="8"/>
        <v>286</v>
      </c>
      <c r="AD17">
        <f t="shared" si="9"/>
        <v>47.25</v>
      </c>
      <c r="AE17">
        <f t="shared" si="10"/>
        <v>107.25</v>
      </c>
      <c r="AG17">
        <f t="shared" si="11"/>
        <v>31.5</v>
      </c>
      <c r="AH17">
        <f t="shared" si="12"/>
        <v>71.5</v>
      </c>
    </row>
    <row r="18" spans="1:34" x14ac:dyDescent="0.25">
      <c r="A18">
        <v>17</v>
      </c>
      <c r="B18" t="s">
        <v>99</v>
      </c>
      <c r="C18" t="str">
        <f>ASET_data[[#This Row],[ASET_scenario]]&amp;ASET_data[[#This Row],[Corridor_length]]</f>
        <v>C14</v>
      </c>
      <c r="D18" t="str" cm="1">
        <f t="array" ref="D18">INDEX(fire_location_2[fire_location_2],
  MOD(INT((ROW()-ROW($D$2)) / (ROWS(sprinkler_2[sprinkler_2])*ROWS(door_2[door_2])*ROWS(corridor_2[corridor_2]))),
  ROWS(fire_location_2[fire_location_2])) + 1)</f>
        <v>Apartment</v>
      </c>
      <c r="E18" t="str" cm="1">
        <f t="array" ref="E18">INDEX(sprinkler_2[sprinkler_2],
  MOD(INT((ROW()-ROW($D$2)) / (ROWS(door_2[door_2])*ROWS(corridor_2[corridor_2]))),
  ROWS(sprinkler_2[sprinkler_2])) + 1)</f>
        <v>Fail</v>
      </c>
      <c r="F18" t="str" cm="1">
        <f t="array" ref="F18">INDEX(door_2[door_2],
  MOD(INT((ROW()-ROW($D$2)) / ROWS(corridor_2[corridor_2])),
  ROWS(door_2[door_2])) + 1)</f>
        <v>part</v>
      </c>
      <c r="G18" cm="1">
        <f t="array" ref="G18">INDEX(corridor_2[corridor_2],
  MOD(ROW()-ROW($D$2), ROWS(corridor_2[corridor_2])) + 1)</f>
        <v>14</v>
      </c>
      <c r="H18" t="str">
        <f>ASET_data[[#This Row],[Location]]&amp;ASET_data[[#This Row],[Corridor_length]]</f>
        <v>Apartment14</v>
      </c>
      <c r="I18" t="str">
        <f>_xlfn.XLOOKUP(ASET_data[[#This Row],[location_length]],RSET_lookup[location_length],RSET_lookup[RSET_helper])</f>
        <v>A14</v>
      </c>
      <c r="J18" t="str">
        <f t="shared" si="2"/>
        <v>Apartment_Fail_part_14</v>
      </c>
      <c r="K18">
        <v>37</v>
      </c>
      <c r="L18">
        <v>221</v>
      </c>
      <c r="M18">
        <f t="shared" si="0"/>
        <v>63</v>
      </c>
      <c r="N18">
        <v>117</v>
      </c>
      <c r="O18" t="s">
        <v>86</v>
      </c>
      <c r="P18">
        <f t="shared" si="1"/>
        <v>160</v>
      </c>
      <c r="R18">
        <v>63</v>
      </c>
      <c r="S18">
        <v>160</v>
      </c>
      <c r="U18">
        <f t="shared" si="3"/>
        <v>78.75</v>
      </c>
      <c r="V18">
        <f t="shared" si="4"/>
        <v>200</v>
      </c>
      <c r="X18">
        <f t="shared" si="5"/>
        <v>94.5</v>
      </c>
      <c r="Y18">
        <f t="shared" si="6"/>
        <v>240</v>
      </c>
      <c r="AA18">
        <f t="shared" si="7"/>
        <v>126</v>
      </c>
      <c r="AB18">
        <f t="shared" si="8"/>
        <v>320</v>
      </c>
      <c r="AD18">
        <f t="shared" si="9"/>
        <v>47.25</v>
      </c>
      <c r="AE18">
        <f t="shared" si="10"/>
        <v>120</v>
      </c>
      <c r="AG18">
        <f t="shared" si="11"/>
        <v>31.5</v>
      </c>
      <c r="AH18">
        <f t="shared" si="12"/>
        <v>80</v>
      </c>
    </row>
    <row r="19" spans="1:34" x14ac:dyDescent="0.25">
      <c r="A19">
        <v>18</v>
      </c>
      <c r="B19" t="s">
        <v>99</v>
      </c>
      <c r="C19" t="str">
        <f>ASET_data[[#This Row],[ASET_scenario]]&amp;ASET_data[[#This Row],[Corridor_length]]</f>
        <v>C18</v>
      </c>
      <c r="D19" t="str" cm="1">
        <f t="array" ref="D19">INDEX(fire_location_2[fire_location_2],
  MOD(INT((ROW()-ROW($D$2)) / (ROWS(sprinkler_2[sprinkler_2])*ROWS(door_2[door_2])*ROWS(corridor_2[corridor_2]))),
  ROWS(fire_location_2[fire_location_2])) + 1)</f>
        <v>Apartment</v>
      </c>
      <c r="E19" t="str" cm="1">
        <f t="array" ref="E19">INDEX(sprinkler_2[sprinkler_2],
  MOD(INT((ROW()-ROW($D$2)) / (ROWS(door_2[door_2])*ROWS(corridor_2[corridor_2]))),
  ROWS(sprinkler_2[sprinkler_2])) + 1)</f>
        <v>Fail</v>
      </c>
      <c r="F19" t="str" cm="1">
        <f t="array" ref="F19">INDEX(door_2[door_2],
  MOD(INT((ROW()-ROW($D$2)) / ROWS(corridor_2[corridor_2])),
  ROWS(door_2[door_2])) + 1)</f>
        <v>part</v>
      </c>
      <c r="G19" cm="1">
        <f t="array" ref="G19">INDEX(corridor_2[corridor_2],
  MOD(ROW()-ROW($D$2), ROWS(corridor_2[corridor_2])) + 1)</f>
        <v>18</v>
      </c>
      <c r="H19" t="str">
        <f>ASET_data[[#This Row],[Location]]&amp;ASET_data[[#This Row],[Corridor_length]]</f>
        <v>Apartment18</v>
      </c>
      <c r="I19" t="str">
        <f>_xlfn.XLOOKUP(ASET_data[[#This Row],[location_length]],RSET_lookup[location_length],RSET_lookup[RSET_helper])</f>
        <v>A18</v>
      </c>
      <c r="J19" t="str">
        <f t="shared" si="2"/>
        <v>Apartment_Fail_part_18</v>
      </c>
      <c r="K19">
        <v>37</v>
      </c>
      <c r="L19">
        <v>221</v>
      </c>
      <c r="M19">
        <f t="shared" si="0"/>
        <v>63</v>
      </c>
      <c r="N19">
        <v>117</v>
      </c>
      <c r="O19" t="s">
        <v>86</v>
      </c>
      <c r="P19">
        <f t="shared" si="1"/>
        <v>173</v>
      </c>
      <c r="R19">
        <v>63</v>
      </c>
      <c r="S19">
        <v>173</v>
      </c>
      <c r="U19">
        <f t="shared" si="3"/>
        <v>78.75</v>
      </c>
      <c r="V19">
        <f t="shared" si="4"/>
        <v>216.25</v>
      </c>
      <c r="X19">
        <f t="shared" si="5"/>
        <v>94.5</v>
      </c>
      <c r="Y19">
        <f t="shared" si="6"/>
        <v>259.5</v>
      </c>
      <c r="AA19">
        <f t="shared" si="7"/>
        <v>126</v>
      </c>
      <c r="AB19">
        <f t="shared" si="8"/>
        <v>346</v>
      </c>
      <c r="AD19">
        <f t="shared" si="9"/>
        <v>47.25</v>
      </c>
      <c r="AE19">
        <f t="shared" si="10"/>
        <v>129.75</v>
      </c>
      <c r="AG19">
        <f t="shared" si="11"/>
        <v>31.5</v>
      </c>
      <c r="AH19">
        <f t="shared" si="12"/>
        <v>86.5</v>
      </c>
    </row>
    <row r="20" spans="1:34" x14ac:dyDescent="0.25">
      <c r="A20">
        <v>19</v>
      </c>
      <c r="B20" t="s">
        <v>99</v>
      </c>
      <c r="C20" t="str">
        <f>ASET_data[[#This Row],[ASET_scenario]]&amp;ASET_data[[#This Row],[Corridor_length]]</f>
        <v>C22</v>
      </c>
      <c r="D20" t="str" cm="1">
        <f t="array" ref="D20">INDEX(fire_location_2[fire_location_2],
  MOD(INT((ROW()-ROW($D$2)) / (ROWS(sprinkler_2[sprinkler_2])*ROWS(door_2[door_2])*ROWS(corridor_2[corridor_2]))),
  ROWS(fire_location_2[fire_location_2])) + 1)</f>
        <v>Apartment</v>
      </c>
      <c r="E20" t="str" cm="1">
        <f t="array" ref="E20">INDEX(sprinkler_2[sprinkler_2],
  MOD(INT((ROW()-ROW($D$2)) / (ROWS(door_2[door_2])*ROWS(corridor_2[corridor_2]))),
  ROWS(sprinkler_2[sprinkler_2])) + 1)</f>
        <v>Fail</v>
      </c>
      <c r="F20" t="str" cm="1">
        <f t="array" ref="F20">INDEX(door_2[door_2],
  MOD(INT((ROW()-ROW($D$2)) / ROWS(corridor_2[corridor_2])),
  ROWS(door_2[door_2])) + 1)</f>
        <v>part</v>
      </c>
      <c r="G20" cm="1">
        <f t="array" ref="G20">INDEX(corridor_2[corridor_2],
  MOD(ROW()-ROW($D$2), ROWS(corridor_2[corridor_2])) + 1)</f>
        <v>22</v>
      </c>
      <c r="H20" t="str">
        <f>ASET_data[[#This Row],[Location]]&amp;ASET_data[[#This Row],[Corridor_length]]</f>
        <v>Apartment22</v>
      </c>
      <c r="I20" t="str">
        <f>_xlfn.XLOOKUP(ASET_data[[#This Row],[location_length]],RSET_lookup[location_length],RSET_lookup[RSET_helper])</f>
        <v>A22</v>
      </c>
      <c r="J20" t="str">
        <f t="shared" si="2"/>
        <v>Apartment_Fail_part_22</v>
      </c>
      <c r="K20">
        <v>37</v>
      </c>
      <c r="L20">
        <v>221</v>
      </c>
      <c r="M20">
        <f t="shared" si="0"/>
        <v>63</v>
      </c>
      <c r="N20">
        <v>116</v>
      </c>
      <c r="O20" t="s">
        <v>86</v>
      </c>
      <c r="P20">
        <f t="shared" si="1"/>
        <v>186</v>
      </c>
      <c r="R20">
        <v>63</v>
      </c>
      <c r="S20">
        <v>186</v>
      </c>
      <c r="U20">
        <f t="shared" si="3"/>
        <v>78.75</v>
      </c>
      <c r="V20">
        <f t="shared" si="4"/>
        <v>232.5</v>
      </c>
      <c r="X20">
        <f t="shared" si="5"/>
        <v>94.5</v>
      </c>
      <c r="Y20">
        <f t="shared" si="6"/>
        <v>279</v>
      </c>
      <c r="AA20">
        <f t="shared" si="7"/>
        <v>126</v>
      </c>
      <c r="AB20">
        <f t="shared" si="8"/>
        <v>372</v>
      </c>
      <c r="AD20">
        <f t="shared" si="9"/>
        <v>47.25</v>
      </c>
      <c r="AE20">
        <f t="shared" si="10"/>
        <v>139.5</v>
      </c>
      <c r="AG20">
        <f t="shared" si="11"/>
        <v>31.5</v>
      </c>
      <c r="AH20">
        <f t="shared" si="12"/>
        <v>93</v>
      </c>
    </row>
    <row r="21" spans="1:34" x14ac:dyDescent="0.25">
      <c r="A21">
        <v>20</v>
      </c>
      <c r="B21" t="s">
        <v>99</v>
      </c>
      <c r="C21" t="str">
        <f>ASET_data[[#This Row],[ASET_scenario]]&amp;ASET_data[[#This Row],[Corridor_length]]</f>
        <v>C26</v>
      </c>
      <c r="D21" t="str" cm="1">
        <f t="array" ref="D21">INDEX(fire_location_2[fire_location_2],
  MOD(INT((ROW()-ROW($D$2)) / (ROWS(sprinkler_2[sprinkler_2])*ROWS(door_2[door_2])*ROWS(corridor_2[corridor_2]))),
  ROWS(fire_location_2[fire_location_2])) + 1)</f>
        <v>Apartment</v>
      </c>
      <c r="E21" t="str" cm="1">
        <f t="array" ref="E21">INDEX(sprinkler_2[sprinkler_2],
  MOD(INT((ROW()-ROW($D$2)) / (ROWS(door_2[door_2])*ROWS(corridor_2[corridor_2]))),
  ROWS(sprinkler_2[sprinkler_2])) + 1)</f>
        <v>Fail</v>
      </c>
      <c r="F21" t="str" cm="1">
        <f t="array" ref="F21">INDEX(door_2[door_2],
  MOD(INT((ROW()-ROW($D$2)) / ROWS(corridor_2[corridor_2])),
  ROWS(door_2[door_2])) + 1)</f>
        <v>part</v>
      </c>
      <c r="G21" cm="1">
        <f t="array" ref="G21">INDEX(corridor_2[corridor_2],
  MOD(ROW()-ROW($D$2), ROWS(corridor_2[corridor_2])) + 1)</f>
        <v>26</v>
      </c>
      <c r="H21" t="str">
        <f>ASET_data[[#This Row],[Location]]&amp;ASET_data[[#This Row],[Corridor_length]]</f>
        <v>Apartment26</v>
      </c>
      <c r="I21" t="str">
        <f>_xlfn.XLOOKUP(ASET_data[[#This Row],[location_length]],RSET_lookup[location_length],RSET_lookup[RSET_helper])</f>
        <v>A26</v>
      </c>
      <c r="J21" t="str">
        <f t="shared" si="2"/>
        <v>Apartment_Fail_part_26</v>
      </c>
      <c r="K21">
        <v>37</v>
      </c>
      <c r="L21">
        <v>221</v>
      </c>
      <c r="M21">
        <f t="shared" si="0"/>
        <v>63</v>
      </c>
      <c r="N21">
        <v>115</v>
      </c>
      <c r="O21" t="s">
        <v>86</v>
      </c>
      <c r="P21">
        <f>S21</f>
        <v>197</v>
      </c>
      <c r="R21">
        <v>63</v>
      </c>
      <c r="S21">
        <v>197</v>
      </c>
      <c r="U21">
        <f t="shared" si="3"/>
        <v>78.75</v>
      </c>
      <c r="V21">
        <f t="shared" si="4"/>
        <v>246.25</v>
      </c>
      <c r="X21">
        <f t="shared" si="5"/>
        <v>94.5</v>
      </c>
      <c r="Y21">
        <f t="shared" si="6"/>
        <v>295.5</v>
      </c>
      <c r="AA21">
        <f t="shared" si="7"/>
        <v>126</v>
      </c>
      <c r="AB21">
        <f t="shared" si="8"/>
        <v>394</v>
      </c>
      <c r="AD21">
        <f t="shared" si="9"/>
        <v>47.25</v>
      </c>
      <c r="AE21">
        <f t="shared" si="10"/>
        <v>147.75</v>
      </c>
      <c r="AG21">
        <f t="shared" si="11"/>
        <v>31.5</v>
      </c>
      <c r="AH21">
        <f t="shared" si="12"/>
        <v>98.5</v>
      </c>
    </row>
    <row r="22" spans="1:34" x14ac:dyDescent="0.25">
      <c r="A22">
        <v>21</v>
      </c>
      <c r="B22" t="s">
        <v>99</v>
      </c>
      <c r="C22" t="str">
        <f>ASET_data[[#This Row],[ASET_scenario]]&amp;ASET_data[[#This Row],[Corridor_length]]</f>
        <v>C30</v>
      </c>
      <c r="D22" t="str" cm="1">
        <f t="array" ref="D22">INDEX(fire_location_2[fire_location_2],
  MOD(INT((ROW()-ROW($D$2)) / (ROWS(sprinkler_2[sprinkler_2])*ROWS(door_2[door_2])*ROWS(corridor_2[corridor_2]))),
  ROWS(fire_location_2[fire_location_2])) + 1)</f>
        <v>Apartment</v>
      </c>
      <c r="E22" t="str" cm="1">
        <f t="array" ref="E22">INDEX(sprinkler_2[sprinkler_2],
  MOD(INT((ROW()-ROW($D$2)) / (ROWS(door_2[door_2])*ROWS(corridor_2[corridor_2]))),
  ROWS(sprinkler_2[sprinkler_2])) + 1)</f>
        <v>Fail</v>
      </c>
      <c r="F22" t="str" cm="1">
        <f t="array" ref="F22">INDEX(door_2[door_2],
  MOD(INT((ROW()-ROW($D$2)) / ROWS(corridor_2[corridor_2])),
  ROWS(door_2[door_2])) + 1)</f>
        <v>part</v>
      </c>
      <c r="G22" cm="1">
        <f t="array" ref="G22">INDEX(corridor_2[corridor_2],
  MOD(ROW()-ROW($D$2), ROWS(corridor_2[corridor_2])) + 1)</f>
        <v>30</v>
      </c>
      <c r="H22" t="str">
        <f>ASET_data[[#This Row],[Location]]&amp;ASET_data[[#This Row],[Corridor_length]]</f>
        <v>Apartment30</v>
      </c>
      <c r="I22" t="str">
        <f>_xlfn.XLOOKUP(ASET_data[[#This Row],[location_length]],RSET_lookup[location_length],RSET_lookup[RSET_helper])</f>
        <v>A30</v>
      </c>
      <c r="J22" t="str">
        <f t="shared" si="2"/>
        <v>Apartment_Fail_part_30</v>
      </c>
      <c r="K22">
        <v>37</v>
      </c>
      <c r="L22">
        <v>221</v>
      </c>
      <c r="M22">
        <f t="shared" si="0"/>
        <v>63</v>
      </c>
      <c r="N22">
        <v>113</v>
      </c>
      <c r="O22" t="s">
        <v>86</v>
      </c>
      <c r="P22">
        <v>10</v>
      </c>
      <c r="R22">
        <v>63</v>
      </c>
      <c r="S22">
        <v>206</v>
      </c>
      <c r="U22">
        <f t="shared" si="3"/>
        <v>78.75</v>
      </c>
      <c r="V22">
        <f t="shared" si="4"/>
        <v>257.5</v>
      </c>
      <c r="X22">
        <f t="shared" si="5"/>
        <v>94.5</v>
      </c>
      <c r="Y22">
        <f t="shared" si="6"/>
        <v>309</v>
      </c>
      <c r="AA22">
        <f t="shared" si="7"/>
        <v>126</v>
      </c>
      <c r="AB22">
        <f t="shared" si="8"/>
        <v>412</v>
      </c>
      <c r="AD22">
        <f t="shared" si="9"/>
        <v>47.25</v>
      </c>
      <c r="AE22">
        <f t="shared" si="10"/>
        <v>154.5</v>
      </c>
      <c r="AG22">
        <f t="shared" si="11"/>
        <v>31.5</v>
      </c>
      <c r="AH22">
        <f t="shared" si="12"/>
        <v>103</v>
      </c>
    </row>
    <row r="23" spans="1:34" x14ac:dyDescent="0.25">
      <c r="A23">
        <v>22</v>
      </c>
      <c r="B23" t="s">
        <v>100</v>
      </c>
      <c r="C23" t="str">
        <f>ASET_data[[#This Row],[ASET_scenario]]&amp;ASET_data[[#This Row],[Corridor_length]]</f>
        <v>D6</v>
      </c>
      <c r="D23" t="str" cm="1">
        <f t="array" ref="D23">INDEX(fire_location_2[fire_location_2],
  MOD(INT((ROW()-ROW($D$2)) / (ROWS(sprinkler_2[sprinkler_2])*ROWS(door_2[door_2])*ROWS(corridor_2[corridor_2]))),
  ROWS(fire_location_2[fire_location_2])) + 1)</f>
        <v>Apartment</v>
      </c>
      <c r="E23" t="str" cm="1">
        <f t="array" ref="E23">INDEX(sprinkler_2[sprinkler_2],
  MOD(INT((ROW()-ROW($D$2)) / (ROWS(door_2[door_2])*ROWS(corridor_2[corridor_2]))),
  ROWS(sprinkler_2[sprinkler_2])) + 1)</f>
        <v>Control</v>
      </c>
      <c r="F23" t="str" cm="1">
        <f t="array" ref="F23">INDEX(door_2[door_2],
  MOD(INT((ROW()-ROW($D$2)) / ROWS(corridor_2[corridor_2])),
  ROWS(door_2[door_2])) + 1)</f>
        <v>open</v>
      </c>
      <c r="G23" cm="1">
        <f t="array" ref="G23">INDEX(corridor_2[corridor_2],
  MOD(ROW()-ROW($D$2), ROWS(corridor_2[corridor_2])) + 1)</f>
        <v>6</v>
      </c>
      <c r="H23" t="str">
        <f>ASET_data[[#This Row],[Location]]&amp;ASET_data[[#This Row],[Corridor_length]]</f>
        <v>Apartment6</v>
      </c>
      <c r="I23" t="str">
        <f>_xlfn.XLOOKUP(ASET_data[[#This Row],[location_length]],RSET_lookup[location_length],RSET_lookup[RSET_helper])</f>
        <v>A6</v>
      </c>
      <c r="J23" t="str">
        <f t="shared" si="2"/>
        <v>Apartment_Control_open_6</v>
      </c>
      <c r="K23">
        <v>37</v>
      </c>
      <c r="L23">
        <v>223</v>
      </c>
      <c r="M23">
        <f t="shared" si="0"/>
        <v>63</v>
      </c>
      <c r="N23">
        <v>90</v>
      </c>
      <c r="O23" t="s">
        <v>86</v>
      </c>
      <c r="P23">
        <f t="shared" si="1"/>
        <v>95</v>
      </c>
      <c r="R23">
        <v>63</v>
      </c>
      <c r="S23">
        <v>95</v>
      </c>
      <c r="U23">
        <f t="shared" si="3"/>
        <v>78.75</v>
      </c>
      <c r="V23">
        <f t="shared" si="4"/>
        <v>118.75</v>
      </c>
      <c r="X23">
        <f t="shared" si="5"/>
        <v>94.5</v>
      </c>
      <c r="Y23">
        <f t="shared" si="6"/>
        <v>142.5</v>
      </c>
      <c r="AA23">
        <f t="shared" si="7"/>
        <v>126</v>
      </c>
      <c r="AB23">
        <f t="shared" si="8"/>
        <v>190</v>
      </c>
      <c r="AD23">
        <f t="shared" si="9"/>
        <v>47.25</v>
      </c>
      <c r="AE23">
        <f t="shared" si="10"/>
        <v>71.25</v>
      </c>
      <c r="AG23">
        <f t="shared" si="11"/>
        <v>31.5</v>
      </c>
      <c r="AH23">
        <f t="shared" si="12"/>
        <v>47.5</v>
      </c>
    </row>
    <row r="24" spans="1:34" x14ac:dyDescent="0.25">
      <c r="A24">
        <v>23</v>
      </c>
      <c r="B24" t="s">
        <v>100</v>
      </c>
      <c r="C24" t="str">
        <f>ASET_data[[#This Row],[ASET_scenario]]&amp;ASET_data[[#This Row],[Corridor_length]]</f>
        <v>D10</v>
      </c>
      <c r="D24" t="str" cm="1">
        <f t="array" ref="D24">INDEX(fire_location_2[fire_location_2],
  MOD(INT((ROW()-ROW($D$2)) / (ROWS(sprinkler_2[sprinkler_2])*ROWS(door_2[door_2])*ROWS(corridor_2[corridor_2]))),
  ROWS(fire_location_2[fire_location_2])) + 1)</f>
        <v>Apartment</v>
      </c>
      <c r="E24" t="str" cm="1">
        <f t="array" ref="E24">INDEX(sprinkler_2[sprinkler_2],
  MOD(INT((ROW()-ROW($D$2)) / (ROWS(door_2[door_2])*ROWS(corridor_2[corridor_2]))),
  ROWS(sprinkler_2[sprinkler_2])) + 1)</f>
        <v>Control</v>
      </c>
      <c r="F24" t="str" cm="1">
        <f t="array" ref="F24">INDEX(door_2[door_2],
  MOD(INT((ROW()-ROW($D$2)) / ROWS(corridor_2[corridor_2])),
  ROWS(door_2[door_2])) + 1)</f>
        <v>open</v>
      </c>
      <c r="G24" cm="1">
        <f t="array" ref="G24">INDEX(corridor_2[corridor_2],
  MOD(ROW()-ROW($D$2), ROWS(corridor_2[corridor_2])) + 1)</f>
        <v>10</v>
      </c>
      <c r="H24" t="str">
        <f>ASET_data[[#This Row],[Location]]&amp;ASET_data[[#This Row],[Corridor_length]]</f>
        <v>Apartment10</v>
      </c>
      <c r="I24" t="str">
        <f>_xlfn.XLOOKUP(ASET_data[[#This Row],[location_length]],RSET_lookup[location_length],RSET_lookup[RSET_helper])</f>
        <v>A10</v>
      </c>
      <c r="J24" t="str">
        <f t="shared" si="2"/>
        <v>Apartment_Control_open_10</v>
      </c>
      <c r="K24">
        <v>37</v>
      </c>
      <c r="L24">
        <v>224</v>
      </c>
      <c r="M24">
        <f t="shared" si="0"/>
        <v>63</v>
      </c>
      <c r="N24">
        <v>91</v>
      </c>
      <c r="O24" t="s">
        <v>86</v>
      </c>
      <c r="P24">
        <f t="shared" si="1"/>
        <v>100</v>
      </c>
      <c r="R24">
        <v>63</v>
      </c>
      <c r="S24">
        <v>100</v>
      </c>
      <c r="U24">
        <f t="shared" si="3"/>
        <v>78.75</v>
      </c>
      <c r="V24">
        <f t="shared" si="4"/>
        <v>125</v>
      </c>
      <c r="X24">
        <f t="shared" si="5"/>
        <v>94.5</v>
      </c>
      <c r="Y24">
        <f t="shared" si="6"/>
        <v>150</v>
      </c>
      <c r="AA24">
        <f t="shared" si="7"/>
        <v>126</v>
      </c>
      <c r="AB24">
        <f t="shared" si="8"/>
        <v>200</v>
      </c>
      <c r="AD24">
        <f t="shared" si="9"/>
        <v>47.25</v>
      </c>
      <c r="AE24">
        <f t="shared" si="10"/>
        <v>75</v>
      </c>
      <c r="AG24">
        <f t="shared" si="11"/>
        <v>31.5</v>
      </c>
      <c r="AH24">
        <f t="shared" si="12"/>
        <v>50</v>
      </c>
    </row>
    <row r="25" spans="1:34" x14ac:dyDescent="0.25">
      <c r="A25">
        <v>24</v>
      </c>
      <c r="B25" t="s">
        <v>100</v>
      </c>
      <c r="C25" t="str">
        <f>ASET_data[[#This Row],[ASET_scenario]]&amp;ASET_data[[#This Row],[Corridor_length]]</f>
        <v>D14</v>
      </c>
      <c r="D25" t="str" cm="1">
        <f t="array" ref="D25">INDEX(fire_location_2[fire_location_2],
  MOD(INT((ROW()-ROW($D$2)) / (ROWS(sprinkler_2[sprinkler_2])*ROWS(door_2[door_2])*ROWS(corridor_2[corridor_2]))),
  ROWS(fire_location_2[fire_location_2])) + 1)</f>
        <v>Apartment</v>
      </c>
      <c r="E25" t="str" cm="1">
        <f t="array" ref="E25">INDEX(sprinkler_2[sprinkler_2],
  MOD(INT((ROW()-ROW($D$2)) / (ROWS(door_2[door_2])*ROWS(corridor_2[corridor_2]))),
  ROWS(sprinkler_2[sprinkler_2])) + 1)</f>
        <v>Control</v>
      </c>
      <c r="F25" t="str" cm="1">
        <f t="array" ref="F25">INDEX(door_2[door_2],
  MOD(INT((ROW()-ROW($D$2)) / ROWS(corridor_2[corridor_2])),
  ROWS(door_2[door_2])) + 1)</f>
        <v>open</v>
      </c>
      <c r="G25" cm="1">
        <f t="array" ref="G25">INDEX(corridor_2[corridor_2],
  MOD(ROW()-ROW($D$2), ROWS(corridor_2[corridor_2])) + 1)</f>
        <v>14</v>
      </c>
      <c r="H25" t="str">
        <f>ASET_data[[#This Row],[Location]]&amp;ASET_data[[#This Row],[Corridor_length]]</f>
        <v>Apartment14</v>
      </c>
      <c r="I25" t="str">
        <f>_xlfn.XLOOKUP(ASET_data[[#This Row],[location_length]],RSET_lookup[location_length],RSET_lookup[RSET_helper])</f>
        <v>A14</v>
      </c>
      <c r="J25" t="str">
        <f t="shared" si="2"/>
        <v>Apartment_Control_open_14</v>
      </c>
      <c r="K25">
        <v>37</v>
      </c>
      <c r="L25">
        <v>225</v>
      </c>
      <c r="M25">
        <f t="shared" si="0"/>
        <v>63</v>
      </c>
      <c r="N25">
        <v>91</v>
      </c>
      <c r="O25" t="s">
        <v>86</v>
      </c>
      <c r="P25">
        <f t="shared" si="1"/>
        <v>105</v>
      </c>
      <c r="R25">
        <v>63</v>
      </c>
      <c r="S25">
        <v>105</v>
      </c>
      <c r="U25">
        <f t="shared" si="3"/>
        <v>78.75</v>
      </c>
      <c r="V25">
        <f t="shared" si="4"/>
        <v>131.25</v>
      </c>
      <c r="X25">
        <f t="shared" si="5"/>
        <v>94.5</v>
      </c>
      <c r="Y25">
        <f t="shared" si="6"/>
        <v>157.5</v>
      </c>
      <c r="AA25">
        <f t="shared" si="7"/>
        <v>126</v>
      </c>
      <c r="AB25">
        <f t="shared" si="8"/>
        <v>210</v>
      </c>
      <c r="AD25">
        <f t="shared" si="9"/>
        <v>47.25</v>
      </c>
      <c r="AE25">
        <f t="shared" si="10"/>
        <v>78.75</v>
      </c>
      <c r="AG25">
        <f t="shared" si="11"/>
        <v>31.5</v>
      </c>
      <c r="AH25">
        <f t="shared" si="12"/>
        <v>52.5</v>
      </c>
    </row>
    <row r="26" spans="1:34" x14ac:dyDescent="0.25">
      <c r="A26">
        <v>25</v>
      </c>
      <c r="B26" t="s">
        <v>100</v>
      </c>
      <c r="C26" t="str">
        <f>ASET_data[[#This Row],[ASET_scenario]]&amp;ASET_data[[#This Row],[Corridor_length]]</f>
        <v>D18</v>
      </c>
      <c r="D26" t="str" cm="1">
        <f t="array" ref="D26">INDEX(fire_location_2[fire_location_2],
  MOD(INT((ROW()-ROW($D$2)) / (ROWS(sprinkler_2[sprinkler_2])*ROWS(door_2[door_2])*ROWS(corridor_2[corridor_2]))),
  ROWS(fire_location_2[fire_location_2])) + 1)</f>
        <v>Apartment</v>
      </c>
      <c r="E26" t="str" cm="1">
        <f t="array" ref="E26">INDEX(sprinkler_2[sprinkler_2],
  MOD(INT((ROW()-ROW($D$2)) / (ROWS(door_2[door_2])*ROWS(corridor_2[corridor_2]))),
  ROWS(sprinkler_2[sprinkler_2])) + 1)</f>
        <v>Control</v>
      </c>
      <c r="F26" t="str" cm="1">
        <f t="array" ref="F26">INDEX(door_2[door_2],
  MOD(INT((ROW()-ROW($D$2)) / ROWS(corridor_2[corridor_2])),
  ROWS(door_2[door_2])) + 1)</f>
        <v>open</v>
      </c>
      <c r="G26" cm="1">
        <f t="array" ref="G26">INDEX(corridor_2[corridor_2],
  MOD(ROW()-ROW($D$2), ROWS(corridor_2[corridor_2])) + 1)</f>
        <v>18</v>
      </c>
      <c r="H26" t="str">
        <f>ASET_data[[#This Row],[Location]]&amp;ASET_data[[#This Row],[Corridor_length]]</f>
        <v>Apartment18</v>
      </c>
      <c r="I26" t="str">
        <f>_xlfn.XLOOKUP(ASET_data[[#This Row],[location_length]],RSET_lookup[location_length],RSET_lookup[RSET_helper])</f>
        <v>A18</v>
      </c>
      <c r="J26" t="str">
        <f t="shared" si="2"/>
        <v>Apartment_Control_open_18</v>
      </c>
      <c r="K26">
        <v>37</v>
      </c>
      <c r="L26">
        <v>226</v>
      </c>
      <c r="M26">
        <f t="shared" si="0"/>
        <v>63</v>
      </c>
      <c r="N26">
        <v>92</v>
      </c>
      <c r="O26" t="s">
        <v>86</v>
      </c>
      <c r="P26">
        <f t="shared" si="1"/>
        <v>110</v>
      </c>
      <c r="R26">
        <v>63</v>
      </c>
      <c r="S26">
        <v>110</v>
      </c>
      <c r="U26">
        <f t="shared" si="3"/>
        <v>78.75</v>
      </c>
      <c r="V26">
        <f t="shared" si="4"/>
        <v>137.5</v>
      </c>
      <c r="X26">
        <f t="shared" si="5"/>
        <v>94.5</v>
      </c>
      <c r="Y26">
        <f t="shared" si="6"/>
        <v>165</v>
      </c>
      <c r="AA26">
        <f t="shared" si="7"/>
        <v>126</v>
      </c>
      <c r="AB26">
        <f t="shared" si="8"/>
        <v>220</v>
      </c>
      <c r="AD26">
        <f t="shared" si="9"/>
        <v>47.25</v>
      </c>
      <c r="AE26">
        <f t="shared" si="10"/>
        <v>82.5</v>
      </c>
      <c r="AG26">
        <f t="shared" si="11"/>
        <v>31.5</v>
      </c>
      <c r="AH26">
        <f t="shared" si="12"/>
        <v>55</v>
      </c>
    </row>
    <row r="27" spans="1:34" x14ac:dyDescent="0.25">
      <c r="A27">
        <v>26</v>
      </c>
      <c r="B27" t="s">
        <v>100</v>
      </c>
      <c r="C27" t="str">
        <f>ASET_data[[#This Row],[ASET_scenario]]&amp;ASET_data[[#This Row],[Corridor_length]]</f>
        <v>D22</v>
      </c>
      <c r="D27" t="str" cm="1">
        <f t="array" ref="D27">INDEX(fire_location_2[fire_location_2],
  MOD(INT((ROW()-ROW($D$2)) / (ROWS(sprinkler_2[sprinkler_2])*ROWS(door_2[door_2])*ROWS(corridor_2[corridor_2]))),
  ROWS(fire_location_2[fire_location_2])) + 1)</f>
        <v>Apartment</v>
      </c>
      <c r="E27" t="str" cm="1">
        <f t="array" ref="E27">INDEX(sprinkler_2[sprinkler_2],
  MOD(INT((ROW()-ROW($D$2)) / (ROWS(door_2[door_2])*ROWS(corridor_2[corridor_2]))),
  ROWS(sprinkler_2[sprinkler_2])) + 1)</f>
        <v>Control</v>
      </c>
      <c r="F27" t="str" cm="1">
        <f t="array" ref="F27">INDEX(door_2[door_2],
  MOD(INT((ROW()-ROW($D$2)) / ROWS(corridor_2[corridor_2])),
  ROWS(door_2[door_2])) + 1)</f>
        <v>open</v>
      </c>
      <c r="G27" cm="1">
        <f t="array" ref="G27">INDEX(corridor_2[corridor_2],
  MOD(ROW()-ROW($D$2), ROWS(corridor_2[corridor_2])) + 1)</f>
        <v>22</v>
      </c>
      <c r="H27" t="str">
        <f>ASET_data[[#This Row],[Location]]&amp;ASET_data[[#This Row],[Corridor_length]]</f>
        <v>Apartment22</v>
      </c>
      <c r="I27" t="str">
        <f>_xlfn.XLOOKUP(ASET_data[[#This Row],[location_length]],RSET_lookup[location_length],RSET_lookup[RSET_helper])</f>
        <v>A22</v>
      </c>
      <c r="J27" t="str">
        <f t="shared" si="2"/>
        <v>Apartment_Control_open_22</v>
      </c>
      <c r="K27">
        <v>37</v>
      </c>
      <c r="L27">
        <v>226</v>
      </c>
      <c r="M27">
        <f t="shared" si="0"/>
        <v>63</v>
      </c>
      <c r="N27">
        <v>92</v>
      </c>
      <c r="O27" t="s">
        <v>86</v>
      </c>
      <c r="P27">
        <f t="shared" si="1"/>
        <v>115</v>
      </c>
      <c r="R27">
        <v>63</v>
      </c>
      <c r="S27">
        <v>115</v>
      </c>
      <c r="U27">
        <f t="shared" si="3"/>
        <v>78.75</v>
      </c>
      <c r="V27">
        <f t="shared" si="4"/>
        <v>143.75</v>
      </c>
      <c r="X27">
        <f t="shared" si="5"/>
        <v>94.5</v>
      </c>
      <c r="Y27">
        <f t="shared" si="6"/>
        <v>172.5</v>
      </c>
      <c r="AA27">
        <f t="shared" si="7"/>
        <v>126</v>
      </c>
      <c r="AB27">
        <f t="shared" si="8"/>
        <v>230</v>
      </c>
      <c r="AD27">
        <f t="shared" si="9"/>
        <v>47.25</v>
      </c>
      <c r="AE27">
        <f t="shared" si="10"/>
        <v>86.25</v>
      </c>
      <c r="AG27">
        <f t="shared" si="11"/>
        <v>31.5</v>
      </c>
      <c r="AH27">
        <f t="shared" si="12"/>
        <v>57.5</v>
      </c>
    </row>
    <row r="28" spans="1:34" x14ac:dyDescent="0.25">
      <c r="A28">
        <v>27</v>
      </c>
      <c r="B28" t="s">
        <v>100</v>
      </c>
      <c r="C28" t="str">
        <f>ASET_data[[#This Row],[ASET_scenario]]&amp;ASET_data[[#This Row],[Corridor_length]]</f>
        <v>D26</v>
      </c>
      <c r="D28" t="str" cm="1">
        <f t="array" ref="D28">INDEX(fire_location_2[fire_location_2],
  MOD(INT((ROW()-ROW($D$2)) / (ROWS(sprinkler_2[sprinkler_2])*ROWS(door_2[door_2])*ROWS(corridor_2[corridor_2]))),
  ROWS(fire_location_2[fire_location_2])) + 1)</f>
        <v>Apartment</v>
      </c>
      <c r="E28" t="str" cm="1">
        <f t="array" ref="E28">INDEX(sprinkler_2[sprinkler_2],
  MOD(INT((ROW()-ROW($D$2)) / (ROWS(door_2[door_2])*ROWS(corridor_2[corridor_2]))),
  ROWS(sprinkler_2[sprinkler_2])) + 1)</f>
        <v>Control</v>
      </c>
      <c r="F28" t="str" cm="1">
        <f t="array" ref="F28">INDEX(door_2[door_2],
  MOD(INT((ROW()-ROW($D$2)) / ROWS(corridor_2[corridor_2])),
  ROWS(door_2[door_2])) + 1)</f>
        <v>open</v>
      </c>
      <c r="G28" cm="1">
        <f t="array" ref="G28">INDEX(corridor_2[corridor_2],
  MOD(ROW()-ROW($D$2), ROWS(corridor_2[corridor_2])) + 1)</f>
        <v>26</v>
      </c>
      <c r="H28" t="str">
        <f>ASET_data[[#This Row],[Location]]&amp;ASET_data[[#This Row],[Corridor_length]]</f>
        <v>Apartment26</v>
      </c>
      <c r="I28" t="str">
        <f>_xlfn.XLOOKUP(ASET_data[[#This Row],[location_length]],RSET_lookup[location_length],RSET_lookup[RSET_helper])</f>
        <v>A26</v>
      </c>
      <c r="J28" t="str">
        <f t="shared" si="2"/>
        <v>Apartment_Control_open_26</v>
      </c>
      <c r="K28">
        <v>37</v>
      </c>
      <c r="L28">
        <v>226</v>
      </c>
      <c r="M28">
        <f t="shared" si="0"/>
        <v>63</v>
      </c>
      <c r="N28">
        <v>92</v>
      </c>
      <c r="O28" t="s">
        <v>86</v>
      </c>
      <c r="P28">
        <f t="shared" si="1"/>
        <v>115</v>
      </c>
      <c r="R28">
        <v>63</v>
      </c>
      <c r="S28">
        <v>115</v>
      </c>
      <c r="U28">
        <f t="shared" si="3"/>
        <v>78.75</v>
      </c>
      <c r="V28">
        <f t="shared" si="4"/>
        <v>143.75</v>
      </c>
      <c r="X28">
        <f t="shared" si="5"/>
        <v>94.5</v>
      </c>
      <c r="Y28">
        <f t="shared" si="6"/>
        <v>172.5</v>
      </c>
      <c r="AA28">
        <f t="shared" si="7"/>
        <v>126</v>
      </c>
      <c r="AB28">
        <f t="shared" si="8"/>
        <v>230</v>
      </c>
      <c r="AD28">
        <f t="shared" si="9"/>
        <v>47.25</v>
      </c>
      <c r="AE28">
        <f t="shared" si="10"/>
        <v>86.25</v>
      </c>
      <c r="AG28">
        <f t="shared" si="11"/>
        <v>31.5</v>
      </c>
      <c r="AH28">
        <f t="shared" si="12"/>
        <v>57.5</v>
      </c>
    </row>
    <row r="29" spans="1:34" x14ac:dyDescent="0.25">
      <c r="A29">
        <v>28</v>
      </c>
      <c r="B29" t="s">
        <v>100</v>
      </c>
      <c r="C29" t="str">
        <f>ASET_data[[#This Row],[ASET_scenario]]&amp;ASET_data[[#This Row],[Corridor_length]]</f>
        <v>D30</v>
      </c>
      <c r="D29" t="str" cm="1">
        <f t="array" ref="D29">INDEX(fire_location_2[fire_location_2],
  MOD(INT((ROW()-ROW($D$2)) / (ROWS(sprinkler_2[sprinkler_2])*ROWS(door_2[door_2])*ROWS(corridor_2[corridor_2]))),
  ROWS(fire_location_2[fire_location_2])) + 1)</f>
        <v>Apartment</v>
      </c>
      <c r="E29" t="str" cm="1">
        <f t="array" ref="E29">INDEX(sprinkler_2[sprinkler_2],
  MOD(INT((ROW()-ROW($D$2)) / (ROWS(door_2[door_2])*ROWS(corridor_2[corridor_2]))),
  ROWS(sprinkler_2[sprinkler_2])) + 1)</f>
        <v>Control</v>
      </c>
      <c r="F29" t="str" cm="1">
        <f t="array" ref="F29">INDEX(door_2[door_2],
  MOD(INT((ROW()-ROW($D$2)) / ROWS(corridor_2[corridor_2])),
  ROWS(door_2[door_2])) + 1)</f>
        <v>open</v>
      </c>
      <c r="G29" cm="1">
        <f t="array" ref="G29">INDEX(corridor_2[corridor_2],
  MOD(ROW()-ROW($D$2), ROWS(corridor_2[corridor_2])) + 1)</f>
        <v>30</v>
      </c>
      <c r="H29" t="str">
        <f>ASET_data[[#This Row],[Location]]&amp;ASET_data[[#This Row],[Corridor_length]]</f>
        <v>Apartment30</v>
      </c>
      <c r="I29" t="str">
        <f>_xlfn.XLOOKUP(ASET_data[[#This Row],[location_length]],RSET_lookup[location_length],RSET_lookup[RSET_helper])</f>
        <v>A30</v>
      </c>
      <c r="J29" t="str">
        <f t="shared" si="2"/>
        <v>Apartment_Control_open_30</v>
      </c>
      <c r="K29">
        <v>37</v>
      </c>
      <c r="L29">
        <v>226</v>
      </c>
      <c r="M29">
        <f t="shared" si="0"/>
        <v>63</v>
      </c>
      <c r="N29">
        <v>92</v>
      </c>
      <c r="O29" t="s">
        <v>86</v>
      </c>
      <c r="P29">
        <f t="shared" si="1"/>
        <v>122</v>
      </c>
      <c r="R29">
        <v>63</v>
      </c>
      <c r="S29">
        <v>122</v>
      </c>
      <c r="U29">
        <f t="shared" si="3"/>
        <v>78.75</v>
      </c>
      <c r="V29">
        <f t="shared" si="4"/>
        <v>152.5</v>
      </c>
      <c r="X29">
        <f t="shared" si="5"/>
        <v>94.5</v>
      </c>
      <c r="Y29">
        <f t="shared" si="6"/>
        <v>183</v>
      </c>
      <c r="AA29">
        <f t="shared" si="7"/>
        <v>126</v>
      </c>
      <c r="AB29">
        <f t="shared" si="8"/>
        <v>244</v>
      </c>
      <c r="AD29">
        <f t="shared" si="9"/>
        <v>47.25</v>
      </c>
      <c r="AE29">
        <f t="shared" si="10"/>
        <v>91.5</v>
      </c>
      <c r="AG29">
        <f t="shared" si="11"/>
        <v>31.5</v>
      </c>
      <c r="AH29">
        <f t="shared" si="12"/>
        <v>61</v>
      </c>
    </row>
    <row r="30" spans="1:34" x14ac:dyDescent="0.25">
      <c r="A30">
        <v>29</v>
      </c>
      <c r="B30" t="s">
        <v>101</v>
      </c>
      <c r="C30" t="str">
        <f>ASET_data[[#This Row],[ASET_scenario]]&amp;ASET_data[[#This Row],[Corridor_length]]</f>
        <v>E6</v>
      </c>
      <c r="D30" t="str" cm="1">
        <f t="array" ref="D30">INDEX(fire_location_2[fire_location_2],
  MOD(INT((ROW()-ROW($D$2)) / (ROWS(sprinkler_2[sprinkler_2])*ROWS(door_2[door_2])*ROWS(corridor_2[corridor_2]))),
  ROWS(fire_location_2[fire_location_2])) + 1)</f>
        <v>Apartment</v>
      </c>
      <c r="E30" t="str" cm="1">
        <f t="array" ref="E30">INDEX(sprinkler_2[sprinkler_2],
  MOD(INT((ROW()-ROW($D$2)) / (ROWS(door_2[door_2])*ROWS(corridor_2[corridor_2]))),
  ROWS(sprinkler_2[sprinkler_2])) + 1)</f>
        <v>Control</v>
      </c>
      <c r="F30" t="str" cm="1">
        <f t="array" ref="F30">INDEX(door_2[door_2],
  MOD(INT((ROW()-ROW($D$2)) / ROWS(corridor_2[corridor_2])),
  ROWS(door_2[door_2])) + 1)</f>
        <v>close</v>
      </c>
      <c r="G30" cm="1">
        <f t="array" ref="G30">INDEX(corridor_2[corridor_2],
  MOD(ROW()-ROW($D$2), ROWS(corridor_2[corridor_2])) + 1)</f>
        <v>6</v>
      </c>
      <c r="H30" t="str">
        <f>ASET_data[[#This Row],[Location]]&amp;ASET_data[[#This Row],[Corridor_length]]</f>
        <v>Apartment6</v>
      </c>
      <c r="I30" t="str">
        <f>_xlfn.XLOOKUP(ASET_data[[#This Row],[location_length]],RSET_lookup[location_length],RSET_lookup[RSET_helper])</f>
        <v>A6</v>
      </c>
      <c r="J30" t="str">
        <f t="shared" si="2"/>
        <v>Apartment_Control_close_6</v>
      </c>
      <c r="K30">
        <v>37</v>
      </c>
      <c r="L30">
        <v>221</v>
      </c>
      <c r="M30">
        <f t="shared" si="0"/>
        <v>63</v>
      </c>
      <c r="N30">
        <f>ASET_data[[#This Row],[apt_SD]]+300</f>
        <v>337</v>
      </c>
      <c r="O30" t="s">
        <v>86</v>
      </c>
      <c r="P30">
        <f t="shared" si="1"/>
        <v>3600</v>
      </c>
      <c r="R30">
        <v>63</v>
      </c>
      <c r="S30">
        <f t="shared" ref="S30:S36" si="14">60*60</f>
        <v>3600</v>
      </c>
      <c r="U30">
        <f t="shared" si="3"/>
        <v>78.75</v>
      </c>
      <c r="V30">
        <f t="shared" si="4"/>
        <v>4500</v>
      </c>
      <c r="X30">
        <f t="shared" si="5"/>
        <v>94.5</v>
      </c>
      <c r="Y30">
        <f t="shared" si="6"/>
        <v>5400</v>
      </c>
      <c r="AA30">
        <f t="shared" si="7"/>
        <v>126</v>
      </c>
      <c r="AB30">
        <f t="shared" si="8"/>
        <v>7200</v>
      </c>
      <c r="AD30">
        <f t="shared" si="9"/>
        <v>47.25</v>
      </c>
      <c r="AE30">
        <f t="shared" si="10"/>
        <v>2700</v>
      </c>
      <c r="AG30">
        <f t="shared" si="11"/>
        <v>31.5</v>
      </c>
      <c r="AH30">
        <f t="shared" si="12"/>
        <v>1800</v>
      </c>
    </row>
    <row r="31" spans="1:34" x14ac:dyDescent="0.25">
      <c r="A31">
        <v>30</v>
      </c>
      <c r="B31" t="s">
        <v>101</v>
      </c>
      <c r="C31" t="str">
        <f>ASET_data[[#This Row],[ASET_scenario]]&amp;ASET_data[[#This Row],[Corridor_length]]</f>
        <v>E10</v>
      </c>
      <c r="D31" t="str" cm="1">
        <f t="array" ref="D31">INDEX(fire_location_2[fire_location_2],
  MOD(INT((ROW()-ROW($D$2)) / (ROWS(sprinkler_2[sprinkler_2])*ROWS(door_2[door_2])*ROWS(corridor_2[corridor_2]))),
  ROWS(fire_location_2[fire_location_2])) + 1)</f>
        <v>Apartment</v>
      </c>
      <c r="E31" t="str" cm="1">
        <f t="array" ref="E31">INDEX(sprinkler_2[sprinkler_2],
  MOD(INT((ROW()-ROW($D$2)) / (ROWS(door_2[door_2])*ROWS(corridor_2[corridor_2]))),
  ROWS(sprinkler_2[sprinkler_2])) + 1)</f>
        <v>Control</v>
      </c>
      <c r="F31" t="str" cm="1">
        <f t="array" ref="F31">INDEX(door_2[door_2],
  MOD(INT((ROW()-ROW($D$2)) / ROWS(corridor_2[corridor_2])),
  ROWS(door_2[door_2])) + 1)</f>
        <v>close</v>
      </c>
      <c r="G31" cm="1">
        <f t="array" ref="G31">INDEX(corridor_2[corridor_2],
  MOD(ROW()-ROW($D$2), ROWS(corridor_2[corridor_2])) + 1)</f>
        <v>10</v>
      </c>
      <c r="H31" t="str">
        <f>ASET_data[[#This Row],[Location]]&amp;ASET_data[[#This Row],[Corridor_length]]</f>
        <v>Apartment10</v>
      </c>
      <c r="I31" t="str">
        <f>_xlfn.XLOOKUP(ASET_data[[#This Row],[location_length]],RSET_lookup[location_length],RSET_lookup[RSET_helper])</f>
        <v>A10</v>
      </c>
      <c r="J31" t="str">
        <f t="shared" si="2"/>
        <v>Apartment_Control_close_10</v>
      </c>
      <c r="K31">
        <v>37</v>
      </c>
      <c r="L31">
        <v>221</v>
      </c>
      <c r="M31">
        <f t="shared" si="0"/>
        <v>63</v>
      </c>
      <c r="N31">
        <f>ASET_data[[#This Row],[apt_SD]]+300</f>
        <v>337</v>
      </c>
      <c r="O31" t="s">
        <v>86</v>
      </c>
      <c r="P31">
        <f t="shared" si="1"/>
        <v>3600</v>
      </c>
      <c r="R31">
        <v>63</v>
      </c>
      <c r="S31">
        <f t="shared" si="14"/>
        <v>3600</v>
      </c>
      <c r="U31">
        <f t="shared" si="3"/>
        <v>78.75</v>
      </c>
      <c r="V31">
        <f t="shared" si="4"/>
        <v>4500</v>
      </c>
      <c r="X31">
        <f t="shared" si="5"/>
        <v>94.5</v>
      </c>
      <c r="Y31">
        <f t="shared" si="6"/>
        <v>5400</v>
      </c>
      <c r="AA31">
        <f t="shared" si="7"/>
        <v>126</v>
      </c>
      <c r="AB31">
        <f t="shared" si="8"/>
        <v>7200</v>
      </c>
      <c r="AD31">
        <f t="shared" si="9"/>
        <v>47.25</v>
      </c>
      <c r="AE31">
        <f t="shared" si="10"/>
        <v>2700</v>
      </c>
      <c r="AG31">
        <f t="shared" si="11"/>
        <v>31.5</v>
      </c>
      <c r="AH31">
        <f t="shared" si="12"/>
        <v>1800</v>
      </c>
    </row>
    <row r="32" spans="1:34" x14ac:dyDescent="0.25">
      <c r="A32">
        <v>31</v>
      </c>
      <c r="B32" t="s">
        <v>101</v>
      </c>
      <c r="C32" t="str">
        <f>ASET_data[[#This Row],[ASET_scenario]]&amp;ASET_data[[#This Row],[Corridor_length]]</f>
        <v>E14</v>
      </c>
      <c r="D32" t="str" cm="1">
        <f t="array" ref="D32">INDEX(fire_location_2[fire_location_2],
  MOD(INT((ROW()-ROW($D$2)) / (ROWS(sprinkler_2[sprinkler_2])*ROWS(door_2[door_2])*ROWS(corridor_2[corridor_2]))),
  ROWS(fire_location_2[fire_location_2])) + 1)</f>
        <v>Apartment</v>
      </c>
      <c r="E32" t="str" cm="1">
        <f t="array" ref="E32">INDEX(sprinkler_2[sprinkler_2],
  MOD(INT((ROW()-ROW($D$2)) / (ROWS(door_2[door_2])*ROWS(corridor_2[corridor_2]))),
  ROWS(sprinkler_2[sprinkler_2])) + 1)</f>
        <v>Control</v>
      </c>
      <c r="F32" t="str" cm="1">
        <f t="array" ref="F32">INDEX(door_2[door_2],
  MOD(INT((ROW()-ROW($D$2)) / ROWS(corridor_2[corridor_2])),
  ROWS(door_2[door_2])) + 1)</f>
        <v>close</v>
      </c>
      <c r="G32" cm="1">
        <f t="array" ref="G32">INDEX(corridor_2[corridor_2],
  MOD(ROW()-ROW($D$2), ROWS(corridor_2[corridor_2])) + 1)</f>
        <v>14</v>
      </c>
      <c r="H32" t="str">
        <f>ASET_data[[#This Row],[Location]]&amp;ASET_data[[#This Row],[Corridor_length]]</f>
        <v>Apartment14</v>
      </c>
      <c r="I32" t="str">
        <f>_xlfn.XLOOKUP(ASET_data[[#This Row],[location_length]],RSET_lookup[location_length],RSET_lookup[RSET_helper])</f>
        <v>A14</v>
      </c>
      <c r="J32" t="str">
        <f t="shared" si="2"/>
        <v>Apartment_Control_close_14</v>
      </c>
      <c r="K32">
        <v>37</v>
      </c>
      <c r="L32">
        <v>221</v>
      </c>
      <c r="M32">
        <f t="shared" si="0"/>
        <v>63</v>
      </c>
      <c r="N32">
        <f>ASET_data[[#This Row],[apt_SD]]+300</f>
        <v>337</v>
      </c>
      <c r="O32" t="s">
        <v>86</v>
      </c>
      <c r="P32">
        <f t="shared" si="1"/>
        <v>3600</v>
      </c>
      <c r="R32">
        <v>63</v>
      </c>
      <c r="S32">
        <f t="shared" si="14"/>
        <v>3600</v>
      </c>
      <c r="U32">
        <f t="shared" si="3"/>
        <v>78.75</v>
      </c>
      <c r="V32">
        <f t="shared" si="4"/>
        <v>4500</v>
      </c>
      <c r="X32">
        <f t="shared" si="5"/>
        <v>94.5</v>
      </c>
      <c r="Y32">
        <f t="shared" si="6"/>
        <v>5400</v>
      </c>
      <c r="AA32">
        <f t="shared" si="7"/>
        <v>126</v>
      </c>
      <c r="AB32">
        <f t="shared" si="8"/>
        <v>7200</v>
      </c>
      <c r="AD32">
        <f t="shared" si="9"/>
        <v>47.25</v>
      </c>
      <c r="AE32">
        <f t="shared" si="10"/>
        <v>2700</v>
      </c>
      <c r="AG32">
        <f t="shared" si="11"/>
        <v>31.5</v>
      </c>
      <c r="AH32">
        <f t="shared" si="12"/>
        <v>1800</v>
      </c>
    </row>
    <row r="33" spans="1:34" x14ac:dyDescent="0.25">
      <c r="A33">
        <v>32</v>
      </c>
      <c r="B33" t="s">
        <v>101</v>
      </c>
      <c r="C33" t="str">
        <f>ASET_data[[#This Row],[ASET_scenario]]&amp;ASET_data[[#This Row],[Corridor_length]]</f>
        <v>E18</v>
      </c>
      <c r="D33" t="str" cm="1">
        <f t="array" ref="D33">INDEX(fire_location_2[fire_location_2],
  MOD(INT((ROW()-ROW($D$2)) / (ROWS(sprinkler_2[sprinkler_2])*ROWS(door_2[door_2])*ROWS(corridor_2[corridor_2]))),
  ROWS(fire_location_2[fire_location_2])) + 1)</f>
        <v>Apartment</v>
      </c>
      <c r="E33" t="str" cm="1">
        <f t="array" ref="E33">INDEX(sprinkler_2[sprinkler_2],
  MOD(INT((ROW()-ROW($D$2)) / (ROWS(door_2[door_2])*ROWS(corridor_2[corridor_2]))),
  ROWS(sprinkler_2[sprinkler_2])) + 1)</f>
        <v>Control</v>
      </c>
      <c r="F33" t="str" cm="1">
        <f t="array" ref="F33">INDEX(door_2[door_2],
  MOD(INT((ROW()-ROW($D$2)) / ROWS(corridor_2[corridor_2])),
  ROWS(door_2[door_2])) + 1)</f>
        <v>close</v>
      </c>
      <c r="G33" cm="1">
        <f t="array" ref="G33">INDEX(corridor_2[corridor_2],
  MOD(ROW()-ROW($D$2), ROWS(corridor_2[corridor_2])) + 1)</f>
        <v>18</v>
      </c>
      <c r="H33" t="str">
        <f>ASET_data[[#This Row],[Location]]&amp;ASET_data[[#This Row],[Corridor_length]]</f>
        <v>Apartment18</v>
      </c>
      <c r="I33" t="str">
        <f>_xlfn.XLOOKUP(ASET_data[[#This Row],[location_length]],RSET_lookup[location_length],RSET_lookup[RSET_helper])</f>
        <v>A18</v>
      </c>
      <c r="J33" t="str">
        <f t="shared" si="2"/>
        <v>Apartment_Control_close_18</v>
      </c>
      <c r="K33">
        <v>37</v>
      </c>
      <c r="L33">
        <v>221</v>
      </c>
      <c r="M33">
        <f t="shared" si="0"/>
        <v>63</v>
      </c>
      <c r="N33">
        <f>ASET_data[[#This Row],[apt_SD]]+300</f>
        <v>337</v>
      </c>
      <c r="O33" t="s">
        <v>86</v>
      </c>
      <c r="P33">
        <f t="shared" si="1"/>
        <v>3600</v>
      </c>
      <c r="R33">
        <v>63</v>
      </c>
      <c r="S33">
        <f t="shared" si="14"/>
        <v>3600</v>
      </c>
      <c r="U33">
        <f t="shared" si="3"/>
        <v>78.75</v>
      </c>
      <c r="V33">
        <f t="shared" si="4"/>
        <v>4500</v>
      </c>
      <c r="X33">
        <f t="shared" si="5"/>
        <v>94.5</v>
      </c>
      <c r="Y33">
        <f t="shared" si="6"/>
        <v>5400</v>
      </c>
      <c r="AA33">
        <f t="shared" si="7"/>
        <v>126</v>
      </c>
      <c r="AB33">
        <f t="shared" si="8"/>
        <v>7200</v>
      </c>
      <c r="AD33">
        <f t="shared" si="9"/>
        <v>47.25</v>
      </c>
      <c r="AE33">
        <f t="shared" si="10"/>
        <v>2700</v>
      </c>
      <c r="AG33">
        <f t="shared" si="11"/>
        <v>31.5</v>
      </c>
      <c r="AH33">
        <f t="shared" si="12"/>
        <v>1800</v>
      </c>
    </row>
    <row r="34" spans="1:34" x14ac:dyDescent="0.25">
      <c r="A34">
        <v>33</v>
      </c>
      <c r="B34" t="s">
        <v>101</v>
      </c>
      <c r="C34" t="str">
        <f>ASET_data[[#This Row],[ASET_scenario]]&amp;ASET_data[[#This Row],[Corridor_length]]</f>
        <v>E22</v>
      </c>
      <c r="D34" t="str" cm="1">
        <f t="array" ref="D34">INDEX(fire_location_2[fire_location_2],
  MOD(INT((ROW()-ROW($D$2)) / (ROWS(sprinkler_2[sprinkler_2])*ROWS(door_2[door_2])*ROWS(corridor_2[corridor_2]))),
  ROWS(fire_location_2[fire_location_2])) + 1)</f>
        <v>Apartment</v>
      </c>
      <c r="E34" t="str" cm="1">
        <f t="array" ref="E34">INDEX(sprinkler_2[sprinkler_2],
  MOD(INT((ROW()-ROW($D$2)) / (ROWS(door_2[door_2])*ROWS(corridor_2[corridor_2]))),
  ROWS(sprinkler_2[sprinkler_2])) + 1)</f>
        <v>Control</v>
      </c>
      <c r="F34" t="str" cm="1">
        <f t="array" ref="F34">INDEX(door_2[door_2],
  MOD(INT((ROW()-ROW($D$2)) / ROWS(corridor_2[corridor_2])),
  ROWS(door_2[door_2])) + 1)</f>
        <v>close</v>
      </c>
      <c r="G34" cm="1">
        <f t="array" ref="G34">INDEX(corridor_2[corridor_2],
  MOD(ROW()-ROW($D$2), ROWS(corridor_2[corridor_2])) + 1)</f>
        <v>22</v>
      </c>
      <c r="H34" t="str">
        <f>ASET_data[[#This Row],[Location]]&amp;ASET_data[[#This Row],[Corridor_length]]</f>
        <v>Apartment22</v>
      </c>
      <c r="I34" t="str">
        <f>_xlfn.XLOOKUP(ASET_data[[#This Row],[location_length]],RSET_lookup[location_length],RSET_lookup[RSET_helper])</f>
        <v>A22</v>
      </c>
      <c r="J34" t="str">
        <f t="shared" si="2"/>
        <v>Apartment_Control_close_22</v>
      </c>
      <c r="K34">
        <v>37</v>
      </c>
      <c r="L34">
        <v>221</v>
      </c>
      <c r="M34">
        <f t="shared" ref="M34:M65" si="15">R34</f>
        <v>63</v>
      </c>
      <c r="N34">
        <f>ASET_data[[#This Row],[apt_SD]]+300</f>
        <v>337</v>
      </c>
      <c r="O34" t="s">
        <v>86</v>
      </c>
      <c r="P34">
        <f t="shared" ref="P34:P65" si="16">S34</f>
        <v>3600</v>
      </c>
      <c r="R34">
        <v>63</v>
      </c>
      <c r="S34">
        <f t="shared" si="14"/>
        <v>3600</v>
      </c>
      <c r="U34">
        <f t="shared" si="3"/>
        <v>78.75</v>
      </c>
      <c r="V34">
        <f t="shared" si="4"/>
        <v>4500</v>
      </c>
      <c r="X34">
        <f t="shared" si="5"/>
        <v>94.5</v>
      </c>
      <c r="Y34">
        <f t="shared" si="6"/>
        <v>5400</v>
      </c>
      <c r="AA34">
        <f t="shared" si="7"/>
        <v>126</v>
      </c>
      <c r="AB34">
        <f t="shared" si="8"/>
        <v>7200</v>
      </c>
      <c r="AD34">
        <f t="shared" si="9"/>
        <v>47.25</v>
      </c>
      <c r="AE34">
        <f t="shared" si="10"/>
        <v>2700</v>
      </c>
      <c r="AG34">
        <f t="shared" si="11"/>
        <v>31.5</v>
      </c>
      <c r="AH34">
        <f t="shared" si="12"/>
        <v>1800</v>
      </c>
    </row>
    <row r="35" spans="1:34" x14ac:dyDescent="0.25">
      <c r="A35">
        <v>34</v>
      </c>
      <c r="B35" t="s">
        <v>101</v>
      </c>
      <c r="C35" t="str">
        <f>ASET_data[[#This Row],[ASET_scenario]]&amp;ASET_data[[#This Row],[Corridor_length]]</f>
        <v>E26</v>
      </c>
      <c r="D35" t="str" cm="1">
        <f t="array" ref="D35">INDEX(fire_location_2[fire_location_2],
  MOD(INT((ROW()-ROW($D$2)) / (ROWS(sprinkler_2[sprinkler_2])*ROWS(door_2[door_2])*ROWS(corridor_2[corridor_2]))),
  ROWS(fire_location_2[fire_location_2])) + 1)</f>
        <v>Apartment</v>
      </c>
      <c r="E35" t="str" cm="1">
        <f t="array" ref="E35">INDEX(sprinkler_2[sprinkler_2],
  MOD(INT((ROW()-ROW($D$2)) / (ROWS(door_2[door_2])*ROWS(corridor_2[corridor_2]))),
  ROWS(sprinkler_2[sprinkler_2])) + 1)</f>
        <v>Control</v>
      </c>
      <c r="F35" t="str" cm="1">
        <f t="array" ref="F35">INDEX(door_2[door_2],
  MOD(INT((ROW()-ROW($D$2)) / ROWS(corridor_2[corridor_2])),
  ROWS(door_2[door_2])) + 1)</f>
        <v>close</v>
      </c>
      <c r="G35" cm="1">
        <f t="array" ref="G35">INDEX(corridor_2[corridor_2],
  MOD(ROW()-ROW($D$2), ROWS(corridor_2[corridor_2])) + 1)</f>
        <v>26</v>
      </c>
      <c r="H35" t="str">
        <f>ASET_data[[#This Row],[Location]]&amp;ASET_data[[#This Row],[Corridor_length]]</f>
        <v>Apartment26</v>
      </c>
      <c r="I35" t="str">
        <f>_xlfn.XLOOKUP(ASET_data[[#This Row],[location_length]],RSET_lookup[location_length],RSET_lookup[RSET_helper])</f>
        <v>A26</v>
      </c>
      <c r="J35" t="str">
        <f t="shared" si="2"/>
        <v>Apartment_Control_close_26</v>
      </c>
      <c r="K35">
        <v>37</v>
      </c>
      <c r="L35">
        <v>221</v>
      </c>
      <c r="M35">
        <f t="shared" si="15"/>
        <v>63</v>
      </c>
      <c r="N35">
        <f>ASET_data[[#This Row],[apt_SD]]+300</f>
        <v>337</v>
      </c>
      <c r="O35" t="s">
        <v>86</v>
      </c>
      <c r="P35">
        <f t="shared" si="16"/>
        <v>3600</v>
      </c>
      <c r="R35">
        <v>63</v>
      </c>
      <c r="S35">
        <f t="shared" si="14"/>
        <v>3600</v>
      </c>
      <c r="U35">
        <f t="shared" si="3"/>
        <v>78.75</v>
      </c>
      <c r="V35">
        <f t="shared" si="4"/>
        <v>4500</v>
      </c>
      <c r="X35">
        <f t="shared" si="5"/>
        <v>94.5</v>
      </c>
      <c r="Y35">
        <f t="shared" si="6"/>
        <v>5400</v>
      </c>
      <c r="AA35">
        <f t="shared" si="7"/>
        <v>126</v>
      </c>
      <c r="AB35">
        <f t="shared" si="8"/>
        <v>7200</v>
      </c>
      <c r="AD35">
        <f t="shared" si="9"/>
        <v>47.25</v>
      </c>
      <c r="AE35">
        <f t="shared" si="10"/>
        <v>2700</v>
      </c>
      <c r="AG35">
        <f t="shared" si="11"/>
        <v>31.5</v>
      </c>
      <c r="AH35">
        <f t="shared" si="12"/>
        <v>1800</v>
      </c>
    </row>
    <row r="36" spans="1:34" x14ac:dyDescent="0.25">
      <c r="A36">
        <v>35</v>
      </c>
      <c r="B36" t="s">
        <v>101</v>
      </c>
      <c r="C36" t="str">
        <f>ASET_data[[#This Row],[ASET_scenario]]&amp;ASET_data[[#This Row],[Corridor_length]]</f>
        <v>E30</v>
      </c>
      <c r="D36" t="str" cm="1">
        <f t="array" ref="D36">INDEX(fire_location_2[fire_location_2],
  MOD(INT((ROW()-ROW($D$2)) / (ROWS(sprinkler_2[sprinkler_2])*ROWS(door_2[door_2])*ROWS(corridor_2[corridor_2]))),
  ROWS(fire_location_2[fire_location_2])) + 1)</f>
        <v>Apartment</v>
      </c>
      <c r="E36" t="str" cm="1">
        <f t="array" ref="E36">INDEX(sprinkler_2[sprinkler_2],
  MOD(INT((ROW()-ROW($D$2)) / (ROWS(door_2[door_2])*ROWS(corridor_2[corridor_2]))),
  ROWS(sprinkler_2[sprinkler_2])) + 1)</f>
        <v>Control</v>
      </c>
      <c r="F36" t="str" cm="1">
        <f t="array" ref="F36">INDEX(door_2[door_2],
  MOD(INT((ROW()-ROW($D$2)) / ROWS(corridor_2[corridor_2])),
  ROWS(door_2[door_2])) + 1)</f>
        <v>close</v>
      </c>
      <c r="G36" cm="1">
        <f t="array" ref="G36">INDEX(corridor_2[corridor_2],
  MOD(ROW()-ROW($D$2), ROWS(corridor_2[corridor_2])) + 1)</f>
        <v>30</v>
      </c>
      <c r="H36" t="str">
        <f>ASET_data[[#This Row],[Location]]&amp;ASET_data[[#This Row],[Corridor_length]]</f>
        <v>Apartment30</v>
      </c>
      <c r="I36" t="str">
        <f>_xlfn.XLOOKUP(ASET_data[[#This Row],[location_length]],RSET_lookup[location_length],RSET_lookup[RSET_helper])</f>
        <v>A30</v>
      </c>
      <c r="J36" t="str">
        <f t="shared" si="2"/>
        <v>Apartment_Control_close_30</v>
      </c>
      <c r="K36">
        <v>37</v>
      </c>
      <c r="L36">
        <v>221</v>
      </c>
      <c r="M36">
        <f t="shared" si="15"/>
        <v>63</v>
      </c>
      <c r="N36">
        <f>ASET_data[[#This Row],[apt_SD]]+300</f>
        <v>337</v>
      </c>
      <c r="O36" t="s">
        <v>86</v>
      </c>
      <c r="P36">
        <f t="shared" si="16"/>
        <v>3600</v>
      </c>
      <c r="R36">
        <v>63</v>
      </c>
      <c r="S36">
        <f t="shared" si="14"/>
        <v>3600</v>
      </c>
      <c r="U36">
        <f t="shared" si="3"/>
        <v>78.75</v>
      </c>
      <c r="V36">
        <f t="shared" si="4"/>
        <v>4500</v>
      </c>
      <c r="X36">
        <f t="shared" si="5"/>
        <v>94.5</v>
      </c>
      <c r="Y36">
        <f t="shared" si="6"/>
        <v>5400</v>
      </c>
      <c r="AA36">
        <f t="shared" si="7"/>
        <v>126</v>
      </c>
      <c r="AB36">
        <f t="shared" si="8"/>
        <v>7200</v>
      </c>
      <c r="AD36">
        <f t="shared" si="9"/>
        <v>47.25</v>
      </c>
      <c r="AE36">
        <f t="shared" si="10"/>
        <v>2700</v>
      </c>
      <c r="AG36">
        <f t="shared" si="11"/>
        <v>31.5</v>
      </c>
      <c r="AH36">
        <f t="shared" si="12"/>
        <v>1800</v>
      </c>
    </row>
    <row r="37" spans="1:34" x14ac:dyDescent="0.25">
      <c r="A37">
        <v>36</v>
      </c>
      <c r="B37" t="s">
        <v>102</v>
      </c>
      <c r="C37" t="str">
        <f>ASET_data[[#This Row],[ASET_scenario]]&amp;ASET_data[[#This Row],[Corridor_length]]</f>
        <v>F6</v>
      </c>
      <c r="D37" t="str" cm="1">
        <f t="array" ref="D37">INDEX(fire_location_2[fire_location_2],
  MOD(INT((ROW()-ROW($D$2)) / (ROWS(sprinkler_2[sprinkler_2])*ROWS(door_2[door_2])*ROWS(corridor_2[corridor_2]))),
  ROWS(fire_location_2[fire_location_2])) + 1)</f>
        <v>Apartment</v>
      </c>
      <c r="E37" t="str" cm="1">
        <f t="array" ref="E37">INDEX(sprinkler_2[sprinkler_2],
  MOD(INT((ROW()-ROW($D$2)) / (ROWS(door_2[door_2])*ROWS(corridor_2[corridor_2]))),
  ROWS(sprinkler_2[sprinkler_2])) + 1)</f>
        <v>Control</v>
      </c>
      <c r="F37" t="str" cm="1">
        <f t="array" ref="F37">INDEX(door_2[door_2],
  MOD(INT((ROW()-ROW($D$2)) / ROWS(corridor_2[corridor_2])),
  ROWS(door_2[door_2])) + 1)</f>
        <v>part</v>
      </c>
      <c r="G37" cm="1">
        <f t="array" ref="G37">INDEX(corridor_2[corridor_2],
  MOD(ROW()-ROW($D$2), ROWS(corridor_2[corridor_2])) + 1)</f>
        <v>6</v>
      </c>
      <c r="H37" t="str">
        <f>ASET_data[[#This Row],[Location]]&amp;ASET_data[[#This Row],[Corridor_length]]</f>
        <v>Apartment6</v>
      </c>
      <c r="I37" t="str">
        <f>_xlfn.XLOOKUP(ASET_data[[#This Row],[location_length]],RSET_lookup[location_length],RSET_lookup[RSET_helper])</f>
        <v>A6</v>
      </c>
      <c r="J37" t="str">
        <f t="shared" si="2"/>
        <v>Apartment_Control_part_6</v>
      </c>
      <c r="K37">
        <v>37</v>
      </c>
      <c r="L37">
        <v>221</v>
      </c>
      <c r="M37">
        <f t="shared" si="15"/>
        <v>63</v>
      </c>
      <c r="N37">
        <v>108</v>
      </c>
      <c r="O37" t="s">
        <v>86</v>
      </c>
      <c r="P37">
        <f t="shared" si="16"/>
        <v>125</v>
      </c>
      <c r="R37">
        <v>63</v>
      </c>
      <c r="S37">
        <v>125</v>
      </c>
      <c r="U37">
        <f t="shared" si="3"/>
        <v>78.75</v>
      </c>
      <c r="V37">
        <f t="shared" si="4"/>
        <v>156.25</v>
      </c>
      <c r="X37">
        <f t="shared" si="5"/>
        <v>94.5</v>
      </c>
      <c r="Y37">
        <f t="shared" si="6"/>
        <v>187.5</v>
      </c>
      <c r="AA37">
        <f t="shared" si="7"/>
        <v>126</v>
      </c>
      <c r="AB37">
        <f t="shared" si="8"/>
        <v>250</v>
      </c>
      <c r="AD37">
        <f t="shared" si="9"/>
        <v>47.25</v>
      </c>
      <c r="AE37">
        <f t="shared" si="10"/>
        <v>93.75</v>
      </c>
      <c r="AG37">
        <f t="shared" si="11"/>
        <v>31.5</v>
      </c>
      <c r="AH37">
        <f t="shared" si="12"/>
        <v>62.5</v>
      </c>
    </row>
    <row r="38" spans="1:34" x14ac:dyDescent="0.25">
      <c r="A38">
        <v>37</v>
      </c>
      <c r="B38" t="s">
        <v>102</v>
      </c>
      <c r="C38" t="str">
        <f>ASET_data[[#This Row],[ASET_scenario]]&amp;ASET_data[[#This Row],[Corridor_length]]</f>
        <v>F10</v>
      </c>
      <c r="D38" t="str" cm="1">
        <f t="array" ref="D38">INDEX(fire_location_2[fire_location_2],
  MOD(INT((ROW()-ROW($D$2)) / (ROWS(sprinkler_2[sprinkler_2])*ROWS(door_2[door_2])*ROWS(corridor_2[corridor_2]))),
  ROWS(fire_location_2[fire_location_2])) + 1)</f>
        <v>Apartment</v>
      </c>
      <c r="E38" t="str" cm="1">
        <f t="array" ref="E38">INDEX(sprinkler_2[sprinkler_2],
  MOD(INT((ROW()-ROW($D$2)) / (ROWS(door_2[door_2])*ROWS(corridor_2[corridor_2]))),
  ROWS(sprinkler_2[sprinkler_2])) + 1)</f>
        <v>Control</v>
      </c>
      <c r="F38" t="str" cm="1">
        <f t="array" ref="F38">INDEX(door_2[door_2],
  MOD(INT((ROW()-ROW($D$2)) / ROWS(corridor_2[corridor_2])),
  ROWS(door_2[door_2])) + 1)</f>
        <v>part</v>
      </c>
      <c r="G38" cm="1">
        <f t="array" ref="G38">INDEX(corridor_2[corridor_2],
  MOD(ROW()-ROW($D$2), ROWS(corridor_2[corridor_2])) + 1)</f>
        <v>10</v>
      </c>
      <c r="H38" t="str">
        <f>ASET_data[[#This Row],[Location]]&amp;ASET_data[[#This Row],[Corridor_length]]</f>
        <v>Apartment10</v>
      </c>
      <c r="I38" t="str">
        <f>_xlfn.XLOOKUP(ASET_data[[#This Row],[location_length]],RSET_lookup[location_length],RSET_lookup[RSET_helper])</f>
        <v>A10</v>
      </c>
      <c r="J38" t="str">
        <f t="shared" si="2"/>
        <v>Apartment_Control_part_10</v>
      </c>
      <c r="K38">
        <v>37</v>
      </c>
      <c r="L38">
        <v>221</v>
      </c>
      <c r="M38">
        <f t="shared" si="15"/>
        <v>63</v>
      </c>
      <c r="N38">
        <v>115</v>
      </c>
      <c r="O38" t="s">
        <v>86</v>
      </c>
      <c r="P38">
        <f t="shared" si="16"/>
        <v>143</v>
      </c>
      <c r="R38">
        <v>63</v>
      </c>
      <c r="S38">
        <v>143</v>
      </c>
      <c r="U38">
        <f t="shared" si="3"/>
        <v>78.75</v>
      </c>
      <c r="V38">
        <f t="shared" si="4"/>
        <v>178.75</v>
      </c>
      <c r="X38">
        <f t="shared" si="5"/>
        <v>94.5</v>
      </c>
      <c r="Y38">
        <f t="shared" si="6"/>
        <v>214.5</v>
      </c>
      <c r="AA38">
        <f t="shared" si="7"/>
        <v>126</v>
      </c>
      <c r="AB38">
        <f t="shared" si="8"/>
        <v>286</v>
      </c>
      <c r="AD38">
        <f t="shared" si="9"/>
        <v>47.25</v>
      </c>
      <c r="AE38">
        <f t="shared" si="10"/>
        <v>107.25</v>
      </c>
      <c r="AG38">
        <f t="shared" si="11"/>
        <v>31.5</v>
      </c>
      <c r="AH38">
        <f t="shared" si="12"/>
        <v>71.5</v>
      </c>
    </row>
    <row r="39" spans="1:34" x14ac:dyDescent="0.25">
      <c r="A39">
        <v>38</v>
      </c>
      <c r="B39" t="s">
        <v>102</v>
      </c>
      <c r="C39" t="str">
        <f>ASET_data[[#This Row],[ASET_scenario]]&amp;ASET_data[[#This Row],[Corridor_length]]</f>
        <v>F14</v>
      </c>
      <c r="D39" t="str" cm="1">
        <f t="array" ref="D39">INDEX(fire_location_2[fire_location_2],
  MOD(INT((ROW()-ROW($D$2)) / (ROWS(sprinkler_2[sprinkler_2])*ROWS(door_2[door_2])*ROWS(corridor_2[corridor_2]))),
  ROWS(fire_location_2[fire_location_2])) + 1)</f>
        <v>Apartment</v>
      </c>
      <c r="E39" t="str" cm="1">
        <f t="array" ref="E39">INDEX(sprinkler_2[sprinkler_2],
  MOD(INT((ROW()-ROW($D$2)) / (ROWS(door_2[door_2])*ROWS(corridor_2[corridor_2]))),
  ROWS(sprinkler_2[sprinkler_2])) + 1)</f>
        <v>Control</v>
      </c>
      <c r="F39" t="str" cm="1">
        <f t="array" ref="F39">INDEX(door_2[door_2],
  MOD(INT((ROW()-ROW($D$2)) / ROWS(corridor_2[corridor_2])),
  ROWS(door_2[door_2])) + 1)</f>
        <v>part</v>
      </c>
      <c r="G39" cm="1">
        <f t="array" ref="G39">INDEX(corridor_2[corridor_2],
  MOD(ROW()-ROW($D$2), ROWS(corridor_2[corridor_2])) + 1)</f>
        <v>14</v>
      </c>
      <c r="H39" t="str">
        <f>ASET_data[[#This Row],[Location]]&amp;ASET_data[[#This Row],[Corridor_length]]</f>
        <v>Apartment14</v>
      </c>
      <c r="I39" t="str">
        <f>_xlfn.XLOOKUP(ASET_data[[#This Row],[location_length]],RSET_lookup[location_length],RSET_lookup[RSET_helper])</f>
        <v>A14</v>
      </c>
      <c r="J39" t="str">
        <f t="shared" si="2"/>
        <v>Apartment_Control_part_14</v>
      </c>
      <c r="K39">
        <v>37</v>
      </c>
      <c r="L39">
        <v>221</v>
      </c>
      <c r="M39">
        <f t="shared" si="15"/>
        <v>63</v>
      </c>
      <c r="N39">
        <v>117</v>
      </c>
      <c r="O39" t="s">
        <v>86</v>
      </c>
      <c r="P39">
        <f t="shared" si="16"/>
        <v>160</v>
      </c>
      <c r="R39">
        <v>63</v>
      </c>
      <c r="S39">
        <v>160</v>
      </c>
      <c r="U39">
        <f t="shared" si="3"/>
        <v>78.75</v>
      </c>
      <c r="V39">
        <f t="shared" si="4"/>
        <v>200</v>
      </c>
      <c r="X39">
        <f t="shared" si="5"/>
        <v>94.5</v>
      </c>
      <c r="Y39">
        <f t="shared" si="6"/>
        <v>240</v>
      </c>
      <c r="AA39">
        <f t="shared" si="7"/>
        <v>126</v>
      </c>
      <c r="AB39">
        <f t="shared" si="8"/>
        <v>320</v>
      </c>
      <c r="AD39">
        <f t="shared" si="9"/>
        <v>47.25</v>
      </c>
      <c r="AE39">
        <f t="shared" si="10"/>
        <v>120</v>
      </c>
      <c r="AG39">
        <f t="shared" si="11"/>
        <v>31.5</v>
      </c>
      <c r="AH39">
        <f t="shared" si="12"/>
        <v>80</v>
      </c>
    </row>
    <row r="40" spans="1:34" x14ac:dyDescent="0.25">
      <c r="A40">
        <v>39</v>
      </c>
      <c r="B40" t="s">
        <v>102</v>
      </c>
      <c r="C40" t="str">
        <f>ASET_data[[#This Row],[ASET_scenario]]&amp;ASET_data[[#This Row],[Corridor_length]]</f>
        <v>F18</v>
      </c>
      <c r="D40" t="str" cm="1">
        <f t="array" ref="D40">INDEX(fire_location_2[fire_location_2],
  MOD(INT((ROW()-ROW($D$2)) / (ROWS(sprinkler_2[sprinkler_2])*ROWS(door_2[door_2])*ROWS(corridor_2[corridor_2]))),
  ROWS(fire_location_2[fire_location_2])) + 1)</f>
        <v>Apartment</v>
      </c>
      <c r="E40" t="str" cm="1">
        <f t="array" ref="E40">INDEX(sprinkler_2[sprinkler_2],
  MOD(INT((ROW()-ROW($D$2)) / (ROWS(door_2[door_2])*ROWS(corridor_2[corridor_2]))),
  ROWS(sprinkler_2[sprinkler_2])) + 1)</f>
        <v>Control</v>
      </c>
      <c r="F40" t="str" cm="1">
        <f t="array" ref="F40">INDEX(door_2[door_2],
  MOD(INT((ROW()-ROW($D$2)) / ROWS(corridor_2[corridor_2])),
  ROWS(door_2[door_2])) + 1)</f>
        <v>part</v>
      </c>
      <c r="G40" cm="1">
        <f t="array" ref="G40">INDEX(corridor_2[corridor_2],
  MOD(ROW()-ROW($D$2), ROWS(corridor_2[corridor_2])) + 1)</f>
        <v>18</v>
      </c>
      <c r="H40" t="str">
        <f>ASET_data[[#This Row],[Location]]&amp;ASET_data[[#This Row],[Corridor_length]]</f>
        <v>Apartment18</v>
      </c>
      <c r="I40" t="str">
        <f>_xlfn.XLOOKUP(ASET_data[[#This Row],[location_length]],RSET_lookup[location_length],RSET_lookup[RSET_helper])</f>
        <v>A18</v>
      </c>
      <c r="J40" t="str">
        <f t="shared" si="2"/>
        <v>Apartment_Control_part_18</v>
      </c>
      <c r="K40">
        <v>37</v>
      </c>
      <c r="L40">
        <v>221</v>
      </c>
      <c r="M40">
        <f t="shared" si="15"/>
        <v>63</v>
      </c>
      <c r="N40">
        <v>117</v>
      </c>
      <c r="O40" t="s">
        <v>86</v>
      </c>
      <c r="P40">
        <f t="shared" si="16"/>
        <v>170</v>
      </c>
      <c r="R40">
        <v>63</v>
      </c>
      <c r="S40">
        <v>170</v>
      </c>
      <c r="U40">
        <f t="shared" si="3"/>
        <v>78.75</v>
      </c>
      <c r="V40">
        <f t="shared" si="4"/>
        <v>212.5</v>
      </c>
      <c r="X40">
        <f t="shared" si="5"/>
        <v>94.5</v>
      </c>
      <c r="Y40">
        <f t="shared" si="6"/>
        <v>255</v>
      </c>
      <c r="AA40">
        <f t="shared" si="7"/>
        <v>126</v>
      </c>
      <c r="AB40">
        <f t="shared" si="8"/>
        <v>340</v>
      </c>
      <c r="AD40">
        <f t="shared" si="9"/>
        <v>47.25</v>
      </c>
      <c r="AE40">
        <f t="shared" si="10"/>
        <v>127.5</v>
      </c>
      <c r="AG40">
        <f t="shared" si="11"/>
        <v>31.5</v>
      </c>
      <c r="AH40">
        <f t="shared" si="12"/>
        <v>85</v>
      </c>
    </row>
    <row r="41" spans="1:34" x14ac:dyDescent="0.25">
      <c r="A41">
        <v>40</v>
      </c>
      <c r="B41" t="s">
        <v>102</v>
      </c>
      <c r="C41" t="str">
        <f>ASET_data[[#This Row],[ASET_scenario]]&amp;ASET_data[[#This Row],[Corridor_length]]</f>
        <v>F22</v>
      </c>
      <c r="D41" t="str" cm="1">
        <f t="array" ref="D41">INDEX(fire_location_2[fire_location_2],
  MOD(INT((ROW()-ROW($D$2)) / (ROWS(sprinkler_2[sprinkler_2])*ROWS(door_2[door_2])*ROWS(corridor_2[corridor_2]))),
  ROWS(fire_location_2[fire_location_2])) + 1)</f>
        <v>Apartment</v>
      </c>
      <c r="E41" t="str" cm="1">
        <f t="array" ref="E41">INDEX(sprinkler_2[sprinkler_2],
  MOD(INT((ROW()-ROW($D$2)) / (ROWS(door_2[door_2])*ROWS(corridor_2[corridor_2]))),
  ROWS(sprinkler_2[sprinkler_2])) + 1)</f>
        <v>Control</v>
      </c>
      <c r="F41" t="str" cm="1">
        <f t="array" ref="F41">INDEX(door_2[door_2],
  MOD(INT((ROW()-ROW($D$2)) / ROWS(corridor_2[corridor_2])),
  ROWS(door_2[door_2])) + 1)</f>
        <v>part</v>
      </c>
      <c r="G41" cm="1">
        <f t="array" ref="G41">INDEX(corridor_2[corridor_2],
  MOD(ROW()-ROW($D$2), ROWS(corridor_2[corridor_2])) + 1)</f>
        <v>22</v>
      </c>
      <c r="H41" t="str">
        <f>ASET_data[[#This Row],[Location]]&amp;ASET_data[[#This Row],[Corridor_length]]</f>
        <v>Apartment22</v>
      </c>
      <c r="I41" t="str">
        <f>_xlfn.XLOOKUP(ASET_data[[#This Row],[location_length]],RSET_lookup[location_length],RSET_lookup[RSET_helper])</f>
        <v>A22</v>
      </c>
      <c r="J41" t="str">
        <f t="shared" si="2"/>
        <v>Apartment_Control_part_22</v>
      </c>
      <c r="K41">
        <v>37</v>
      </c>
      <c r="L41">
        <v>221</v>
      </c>
      <c r="M41">
        <f t="shared" si="15"/>
        <v>63</v>
      </c>
      <c r="N41">
        <v>116</v>
      </c>
      <c r="O41" t="s">
        <v>86</v>
      </c>
      <c r="P41">
        <f t="shared" si="16"/>
        <v>186</v>
      </c>
      <c r="R41">
        <v>63</v>
      </c>
      <c r="S41">
        <v>186</v>
      </c>
      <c r="U41">
        <f t="shared" si="3"/>
        <v>78.75</v>
      </c>
      <c r="V41">
        <f t="shared" si="4"/>
        <v>232.5</v>
      </c>
      <c r="X41">
        <f t="shared" si="5"/>
        <v>94.5</v>
      </c>
      <c r="Y41">
        <f t="shared" si="6"/>
        <v>279</v>
      </c>
      <c r="AA41">
        <f t="shared" si="7"/>
        <v>126</v>
      </c>
      <c r="AB41">
        <f t="shared" si="8"/>
        <v>372</v>
      </c>
      <c r="AD41">
        <f t="shared" si="9"/>
        <v>47.25</v>
      </c>
      <c r="AE41">
        <f t="shared" si="10"/>
        <v>139.5</v>
      </c>
      <c r="AG41">
        <f t="shared" si="11"/>
        <v>31.5</v>
      </c>
      <c r="AH41">
        <f t="shared" si="12"/>
        <v>93</v>
      </c>
    </row>
    <row r="42" spans="1:34" x14ac:dyDescent="0.25">
      <c r="A42">
        <v>41</v>
      </c>
      <c r="B42" t="s">
        <v>102</v>
      </c>
      <c r="C42" t="str">
        <f>ASET_data[[#This Row],[ASET_scenario]]&amp;ASET_data[[#This Row],[Corridor_length]]</f>
        <v>F26</v>
      </c>
      <c r="D42" t="str" cm="1">
        <f t="array" ref="D42">INDEX(fire_location_2[fire_location_2],
  MOD(INT((ROW()-ROW($D$2)) / (ROWS(sprinkler_2[sprinkler_2])*ROWS(door_2[door_2])*ROWS(corridor_2[corridor_2]))),
  ROWS(fire_location_2[fire_location_2])) + 1)</f>
        <v>Apartment</v>
      </c>
      <c r="E42" t="str" cm="1">
        <f t="array" ref="E42">INDEX(sprinkler_2[sprinkler_2],
  MOD(INT((ROW()-ROW($D$2)) / (ROWS(door_2[door_2])*ROWS(corridor_2[corridor_2]))),
  ROWS(sprinkler_2[sprinkler_2])) + 1)</f>
        <v>Control</v>
      </c>
      <c r="F42" t="str" cm="1">
        <f t="array" ref="F42">INDEX(door_2[door_2],
  MOD(INT((ROW()-ROW($D$2)) / ROWS(corridor_2[corridor_2])),
  ROWS(door_2[door_2])) + 1)</f>
        <v>part</v>
      </c>
      <c r="G42" cm="1">
        <f t="array" ref="G42">INDEX(corridor_2[corridor_2],
  MOD(ROW()-ROW($D$2), ROWS(corridor_2[corridor_2])) + 1)</f>
        <v>26</v>
      </c>
      <c r="H42" t="str">
        <f>ASET_data[[#This Row],[Location]]&amp;ASET_data[[#This Row],[Corridor_length]]</f>
        <v>Apartment26</v>
      </c>
      <c r="I42" t="str">
        <f>_xlfn.XLOOKUP(ASET_data[[#This Row],[location_length]],RSET_lookup[location_length],RSET_lookup[RSET_helper])</f>
        <v>A26</v>
      </c>
      <c r="J42" t="str">
        <f t="shared" si="2"/>
        <v>Apartment_Control_part_26</v>
      </c>
      <c r="K42">
        <v>37</v>
      </c>
      <c r="L42">
        <v>221</v>
      </c>
      <c r="M42">
        <f t="shared" si="15"/>
        <v>63</v>
      </c>
      <c r="N42">
        <v>115</v>
      </c>
      <c r="O42" t="s">
        <v>86</v>
      </c>
      <c r="P42">
        <f t="shared" si="16"/>
        <v>196</v>
      </c>
      <c r="R42">
        <v>63</v>
      </c>
      <c r="S42">
        <v>196</v>
      </c>
      <c r="U42">
        <f t="shared" si="3"/>
        <v>78.75</v>
      </c>
      <c r="V42">
        <f t="shared" si="4"/>
        <v>245</v>
      </c>
      <c r="X42">
        <f t="shared" si="5"/>
        <v>94.5</v>
      </c>
      <c r="Y42">
        <f t="shared" si="6"/>
        <v>294</v>
      </c>
      <c r="AA42">
        <f t="shared" si="7"/>
        <v>126</v>
      </c>
      <c r="AB42">
        <f t="shared" si="8"/>
        <v>392</v>
      </c>
      <c r="AD42">
        <f t="shared" si="9"/>
        <v>47.25</v>
      </c>
      <c r="AE42">
        <f t="shared" si="10"/>
        <v>147</v>
      </c>
      <c r="AG42">
        <f t="shared" si="11"/>
        <v>31.5</v>
      </c>
      <c r="AH42">
        <f t="shared" si="12"/>
        <v>98</v>
      </c>
    </row>
    <row r="43" spans="1:34" x14ac:dyDescent="0.25">
      <c r="A43">
        <v>42</v>
      </c>
      <c r="B43" t="s">
        <v>102</v>
      </c>
      <c r="C43" t="str">
        <f>ASET_data[[#This Row],[ASET_scenario]]&amp;ASET_data[[#This Row],[Corridor_length]]</f>
        <v>F30</v>
      </c>
      <c r="D43" t="str" cm="1">
        <f t="array" ref="D43">INDEX(fire_location_2[fire_location_2],
  MOD(INT((ROW()-ROW($D$2)) / (ROWS(sprinkler_2[sprinkler_2])*ROWS(door_2[door_2])*ROWS(corridor_2[corridor_2]))),
  ROWS(fire_location_2[fire_location_2])) + 1)</f>
        <v>Apartment</v>
      </c>
      <c r="E43" t="str" cm="1">
        <f t="array" ref="E43">INDEX(sprinkler_2[sprinkler_2],
  MOD(INT((ROW()-ROW($D$2)) / (ROWS(door_2[door_2])*ROWS(corridor_2[corridor_2]))),
  ROWS(sprinkler_2[sprinkler_2])) + 1)</f>
        <v>Control</v>
      </c>
      <c r="F43" t="str" cm="1">
        <f t="array" ref="F43">INDEX(door_2[door_2],
  MOD(INT((ROW()-ROW($D$2)) / ROWS(corridor_2[corridor_2])),
  ROWS(door_2[door_2])) + 1)</f>
        <v>part</v>
      </c>
      <c r="G43" cm="1">
        <f t="array" ref="G43">INDEX(corridor_2[corridor_2],
  MOD(ROW()-ROW($D$2), ROWS(corridor_2[corridor_2])) + 1)</f>
        <v>30</v>
      </c>
      <c r="H43" t="str">
        <f>ASET_data[[#This Row],[Location]]&amp;ASET_data[[#This Row],[Corridor_length]]</f>
        <v>Apartment30</v>
      </c>
      <c r="I43" t="str">
        <f>_xlfn.XLOOKUP(ASET_data[[#This Row],[location_length]],RSET_lookup[location_length],RSET_lookup[RSET_helper])</f>
        <v>A30</v>
      </c>
      <c r="J43" t="str">
        <f t="shared" si="2"/>
        <v>Apartment_Control_part_30</v>
      </c>
      <c r="K43">
        <v>37</v>
      </c>
      <c r="L43">
        <v>221</v>
      </c>
      <c r="M43">
        <f t="shared" si="15"/>
        <v>63</v>
      </c>
      <c r="N43">
        <v>113</v>
      </c>
      <c r="O43" t="s">
        <v>86</v>
      </c>
      <c r="P43">
        <f t="shared" si="16"/>
        <v>206</v>
      </c>
      <c r="R43">
        <v>63</v>
      </c>
      <c r="S43">
        <v>206</v>
      </c>
      <c r="U43">
        <f t="shared" si="3"/>
        <v>78.75</v>
      </c>
      <c r="V43">
        <f t="shared" si="4"/>
        <v>257.5</v>
      </c>
      <c r="X43">
        <f t="shared" si="5"/>
        <v>94.5</v>
      </c>
      <c r="Y43">
        <f t="shared" si="6"/>
        <v>309</v>
      </c>
      <c r="AA43">
        <f t="shared" si="7"/>
        <v>126</v>
      </c>
      <c r="AB43">
        <f t="shared" si="8"/>
        <v>412</v>
      </c>
      <c r="AD43">
        <f t="shared" si="9"/>
        <v>47.25</v>
      </c>
      <c r="AE43">
        <f t="shared" si="10"/>
        <v>154.5</v>
      </c>
      <c r="AG43">
        <f t="shared" si="11"/>
        <v>31.5</v>
      </c>
      <c r="AH43">
        <f t="shared" si="12"/>
        <v>103</v>
      </c>
    </row>
    <row r="44" spans="1:34" x14ac:dyDescent="0.25">
      <c r="A44">
        <v>43</v>
      </c>
      <c r="B44" t="s">
        <v>103</v>
      </c>
      <c r="C44" t="str">
        <f>ASET_data[[#This Row],[ASET_scenario]]&amp;ASET_data[[#This Row],[Corridor_length]]</f>
        <v>G6</v>
      </c>
      <c r="D44" t="str" cm="1">
        <f t="array" ref="D44">INDEX(fire_location_2[fire_location_2],
  MOD(INT((ROW()-ROW($D$2)) / (ROWS(sprinkler_2[sprinkler_2])*ROWS(door_2[door_2])*ROWS(corridor_2[corridor_2]))),
  ROWS(fire_location_2[fire_location_2])) + 1)</f>
        <v>Corridor</v>
      </c>
      <c r="E44" t="str" cm="1">
        <f t="array" ref="E44">INDEX(sprinkler_2[sprinkler_2],
  MOD(INT((ROW()-ROW($D$2)) / (ROWS(door_2[door_2])*ROWS(corridor_2[corridor_2]))),
  ROWS(sprinkler_2[sprinkler_2])) + 1)</f>
        <v>Fail</v>
      </c>
      <c r="F44" t="str" cm="1">
        <f t="array" ref="F44">INDEX(door_2[door_2],
  MOD(INT((ROW()-ROW($D$2)) / ROWS(corridor_2[corridor_2])),
  ROWS(door_2[door_2])) + 1)</f>
        <v>open</v>
      </c>
      <c r="G44" cm="1">
        <f t="array" ref="G44">INDEX(corridor_2[corridor_2],
  MOD(ROW()-ROW($D$2), ROWS(corridor_2[corridor_2])) + 1)</f>
        <v>6</v>
      </c>
      <c r="H44" t="str">
        <f>ASET_data[[#This Row],[Location]]&amp;ASET_data[[#This Row],[Corridor_length]]</f>
        <v>Corridor6</v>
      </c>
      <c r="I44" t="str">
        <f>_xlfn.XLOOKUP(ASET_data[[#This Row],[location_length]],RSET_lookup[location_length],RSET_lookup[RSET_helper])</f>
        <v>E6</v>
      </c>
      <c r="J44" t="str">
        <f t="shared" si="2"/>
        <v>Corridor_Fail_open_6</v>
      </c>
      <c r="K44" s="3">
        <v>83</v>
      </c>
      <c r="L44" s="3" t="s">
        <v>86</v>
      </c>
      <c r="M44">
        <f t="shared" si="15"/>
        <v>61</v>
      </c>
      <c r="N44" s="3">
        <v>44</v>
      </c>
      <c r="O44" s="3">
        <v>183</v>
      </c>
      <c r="P44">
        <f t="shared" si="16"/>
        <v>39</v>
      </c>
      <c r="R44" s="3">
        <v>61</v>
      </c>
      <c r="S44" s="3">
        <v>39</v>
      </c>
      <c r="U44">
        <f t="shared" si="3"/>
        <v>76.25</v>
      </c>
      <c r="V44">
        <f t="shared" si="4"/>
        <v>48.75</v>
      </c>
      <c r="X44">
        <f t="shared" si="5"/>
        <v>91.5</v>
      </c>
      <c r="Y44">
        <f t="shared" si="6"/>
        <v>58.5</v>
      </c>
      <c r="AA44">
        <f t="shared" si="7"/>
        <v>122</v>
      </c>
      <c r="AB44">
        <f t="shared" si="8"/>
        <v>78</v>
      </c>
      <c r="AD44">
        <f t="shared" si="9"/>
        <v>45.75</v>
      </c>
      <c r="AE44">
        <f t="shared" si="10"/>
        <v>29.25</v>
      </c>
      <c r="AG44">
        <f t="shared" si="11"/>
        <v>30.5</v>
      </c>
      <c r="AH44">
        <f t="shared" si="12"/>
        <v>19.5</v>
      </c>
    </row>
    <row r="45" spans="1:34" x14ac:dyDescent="0.25">
      <c r="A45">
        <v>44</v>
      </c>
      <c r="B45" t="s">
        <v>103</v>
      </c>
      <c r="C45" t="str">
        <f>ASET_data[[#This Row],[ASET_scenario]]&amp;ASET_data[[#This Row],[Corridor_length]]</f>
        <v>G10</v>
      </c>
      <c r="D45" t="str" cm="1">
        <f t="array" ref="D45">INDEX(fire_location_2[fire_location_2],
  MOD(INT((ROW()-ROW($D$2)) / (ROWS(sprinkler_2[sprinkler_2])*ROWS(door_2[door_2])*ROWS(corridor_2[corridor_2]))),
  ROWS(fire_location_2[fire_location_2])) + 1)</f>
        <v>Corridor</v>
      </c>
      <c r="E45" t="str" cm="1">
        <f t="array" ref="E45">INDEX(sprinkler_2[sprinkler_2],
  MOD(INT((ROW()-ROW($D$2)) / (ROWS(door_2[door_2])*ROWS(corridor_2[corridor_2]))),
  ROWS(sprinkler_2[sprinkler_2])) + 1)</f>
        <v>Fail</v>
      </c>
      <c r="F45" t="str" cm="1">
        <f t="array" ref="F45">INDEX(door_2[door_2],
  MOD(INT((ROW()-ROW($D$2)) / ROWS(corridor_2[corridor_2])),
  ROWS(door_2[door_2])) + 1)</f>
        <v>open</v>
      </c>
      <c r="G45" cm="1">
        <f t="array" ref="G45">INDEX(corridor_2[corridor_2],
  MOD(ROW()-ROW($D$2), ROWS(corridor_2[corridor_2])) + 1)</f>
        <v>10</v>
      </c>
      <c r="H45" t="str">
        <f>ASET_data[[#This Row],[Location]]&amp;ASET_data[[#This Row],[Corridor_length]]</f>
        <v>Corridor10</v>
      </c>
      <c r="I45" t="str">
        <f>_xlfn.XLOOKUP(ASET_data[[#This Row],[location_length]],RSET_lookup[location_length],RSET_lookup[RSET_helper])</f>
        <v>E10</v>
      </c>
      <c r="J45" t="str">
        <f t="shared" si="2"/>
        <v>Corridor_Fail_open_10</v>
      </c>
      <c r="K45">
        <v>94</v>
      </c>
      <c r="L45" t="s">
        <v>86</v>
      </c>
      <c r="M45">
        <f t="shared" si="15"/>
        <v>69</v>
      </c>
      <c r="N45">
        <v>47</v>
      </c>
      <c r="O45">
        <v>191</v>
      </c>
      <c r="P45">
        <f t="shared" si="16"/>
        <v>43</v>
      </c>
      <c r="R45">
        <v>69</v>
      </c>
      <c r="S45">
        <v>43</v>
      </c>
      <c r="U45">
        <f t="shared" si="3"/>
        <v>86.25</v>
      </c>
      <c r="V45">
        <f t="shared" si="4"/>
        <v>53.75</v>
      </c>
      <c r="X45">
        <f t="shared" si="5"/>
        <v>103.5</v>
      </c>
      <c r="Y45">
        <f t="shared" si="6"/>
        <v>64.5</v>
      </c>
      <c r="AA45">
        <f t="shared" si="7"/>
        <v>138</v>
      </c>
      <c r="AB45">
        <f t="shared" si="8"/>
        <v>86</v>
      </c>
      <c r="AD45">
        <f t="shared" si="9"/>
        <v>51.75</v>
      </c>
      <c r="AE45">
        <f t="shared" si="10"/>
        <v>32.25</v>
      </c>
      <c r="AG45">
        <f t="shared" si="11"/>
        <v>34.5</v>
      </c>
      <c r="AH45">
        <f t="shared" si="12"/>
        <v>21.5</v>
      </c>
    </row>
    <row r="46" spans="1:34" x14ac:dyDescent="0.25">
      <c r="A46">
        <v>45</v>
      </c>
      <c r="B46" t="s">
        <v>103</v>
      </c>
      <c r="C46" t="str">
        <f>ASET_data[[#This Row],[ASET_scenario]]&amp;ASET_data[[#This Row],[Corridor_length]]</f>
        <v>G14</v>
      </c>
      <c r="D46" t="str" cm="1">
        <f t="array" ref="D46">INDEX(fire_location_2[fire_location_2],
  MOD(INT((ROW()-ROW($D$2)) / (ROWS(sprinkler_2[sprinkler_2])*ROWS(door_2[door_2])*ROWS(corridor_2[corridor_2]))),
  ROWS(fire_location_2[fire_location_2])) + 1)</f>
        <v>Corridor</v>
      </c>
      <c r="E46" t="str" cm="1">
        <f t="array" ref="E46">INDEX(sprinkler_2[sprinkler_2],
  MOD(INT((ROW()-ROW($D$2)) / (ROWS(door_2[door_2])*ROWS(corridor_2[corridor_2]))),
  ROWS(sprinkler_2[sprinkler_2])) + 1)</f>
        <v>Fail</v>
      </c>
      <c r="F46" t="str" cm="1">
        <f t="array" ref="F46">INDEX(door_2[door_2],
  MOD(INT((ROW()-ROW($D$2)) / ROWS(corridor_2[corridor_2])),
  ROWS(door_2[door_2])) + 1)</f>
        <v>open</v>
      </c>
      <c r="G46" cm="1">
        <f t="array" ref="G46">INDEX(corridor_2[corridor_2],
  MOD(ROW()-ROW($D$2), ROWS(corridor_2[corridor_2])) + 1)</f>
        <v>14</v>
      </c>
      <c r="H46" t="str">
        <f>ASET_data[[#This Row],[Location]]&amp;ASET_data[[#This Row],[Corridor_length]]</f>
        <v>Corridor14</v>
      </c>
      <c r="I46" t="str">
        <f>_xlfn.XLOOKUP(ASET_data[[#This Row],[location_length]],RSET_lookup[location_length],RSET_lookup[RSET_helper])</f>
        <v>E14</v>
      </c>
      <c r="J46" t="str">
        <f t="shared" si="2"/>
        <v>Corridor_Fail_open_14</v>
      </c>
      <c r="K46" s="3">
        <v>102</v>
      </c>
      <c r="L46" s="3" t="s">
        <v>86</v>
      </c>
      <c r="M46">
        <f t="shared" si="15"/>
        <v>76</v>
      </c>
      <c r="N46" s="3">
        <v>48</v>
      </c>
      <c r="O46" s="3">
        <v>200</v>
      </c>
      <c r="P46">
        <f t="shared" si="16"/>
        <v>45</v>
      </c>
      <c r="R46" s="3">
        <v>76</v>
      </c>
      <c r="S46" s="3">
        <v>45</v>
      </c>
      <c r="U46">
        <f t="shared" si="3"/>
        <v>95</v>
      </c>
      <c r="V46">
        <f t="shared" si="4"/>
        <v>56.25</v>
      </c>
      <c r="X46">
        <f t="shared" si="5"/>
        <v>114</v>
      </c>
      <c r="Y46">
        <f t="shared" si="6"/>
        <v>67.5</v>
      </c>
      <c r="AA46">
        <f t="shared" si="7"/>
        <v>152</v>
      </c>
      <c r="AB46">
        <f t="shared" si="8"/>
        <v>90</v>
      </c>
      <c r="AD46">
        <f t="shared" si="9"/>
        <v>57</v>
      </c>
      <c r="AE46">
        <f t="shared" si="10"/>
        <v>33.75</v>
      </c>
      <c r="AG46">
        <f t="shared" si="11"/>
        <v>38</v>
      </c>
      <c r="AH46">
        <f t="shared" si="12"/>
        <v>22.5</v>
      </c>
    </row>
    <row r="47" spans="1:34" x14ac:dyDescent="0.25">
      <c r="A47">
        <v>46</v>
      </c>
      <c r="B47" t="s">
        <v>103</v>
      </c>
      <c r="C47" t="str">
        <f>ASET_data[[#This Row],[ASET_scenario]]&amp;ASET_data[[#This Row],[Corridor_length]]</f>
        <v>G18</v>
      </c>
      <c r="D47" t="str" cm="1">
        <f t="array" ref="D47">INDEX(fire_location_2[fire_location_2],
  MOD(INT((ROW()-ROW($D$2)) / (ROWS(sprinkler_2[sprinkler_2])*ROWS(door_2[door_2])*ROWS(corridor_2[corridor_2]))),
  ROWS(fire_location_2[fire_location_2])) + 1)</f>
        <v>Corridor</v>
      </c>
      <c r="E47" t="str" cm="1">
        <f t="array" ref="E47">INDEX(sprinkler_2[sprinkler_2],
  MOD(INT((ROW()-ROW($D$2)) / (ROWS(door_2[door_2])*ROWS(corridor_2[corridor_2]))),
  ROWS(sprinkler_2[sprinkler_2])) + 1)</f>
        <v>Fail</v>
      </c>
      <c r="F47" t="str" cm="1">
        <f t="array" ref="F47">INDEX(door_2[door_2],
  MOD(INT((ROW()-ROW($D$2)) / ROWS(corridor_2[corridor_2])),
  ROWS(door_2[door_2])) + 1)</f>
        <v>open</v>
      </c>
      <c r="G47" cm="1">
        <f t="array" ref="G47">INDEX(corridor_2[corridor_2],
  MOD(ROW()-ROW($D$2), ROWS(corridor_2[corridor_2])) + 1)</f>
        <v>18</v>
      </c>
      <c r="H47" t="str">
        <f>ASET_data[[#This Row],[Location]]&amp;ASET_data[[#This Row],[Corridor_length]]</f>
        <v>Corridor18</v>
      </c>
      <c r="I47" t="str">
        <f>_xlfn.XLOOKUP(ASET_data[[#This Row],[location_length]],RSET_lookup[location_length],RSET_lookup[RSET_helper])</f>
        <v>E18</v>
      </c>
      <c r="J47" t="str">
        <f t="shared" si="2"/>
        <v>Corridor_Fail_open_18</v>
      </c>
      <c r="K47">
        <v>109</v>
      </c>
      <c r="L47" t="s">
        <v>86</v>
      </c>
      <c r="M47">
        <f t="shared" si="15"/>
        <v>82</v>
      </c>
      <c r="N47">
        <v>47</v>
      </c>
      <c r="O47">
        <v>208</v>
      </c>
      <c r="P47">
        <f t="shared" si="16"/>
        <v>47</v>
      </c>
      <c r="R47">
        <v>82</v>
      </c>
      <c r="S47">
        <v>47</v>
      </c>
      <c r="U47">
        <f t="shared" si="3"/>
        <v>102.5</v>
      </c>
      <c r="V47">
        <f t="shared" si="4"/>
        <v>58.75</v>
      </c>
      <c r="X47">
        <f t="shared" si="5"/>
        <v>123</v>
      </c>
      <c r="Y47">
        <f t="shared" si="6"/>
        <v>70.5</v>
      </c>
      <c r="AA47">
        <f t="shared" si="7"/>
        <v>164</v>
      </c>
      <c r="AB47">
        <f t="shared" si="8"/>
        <v>94</v>
      </c>
      <c r="AD47">
        <f t="shared" si="9"/>
        <v>61.5</v>
      </c>
      <c r="AE47">
        <f t="shared" si="10"/>
        <v>35.25</v>
      </c>
      <c r="AG47">
        <f t="shared" si="11"/>
        <v>41</v>
      </c>
      <c r="AH47">
        <f t="shared" si="12"/>
        <v>23.5</v>
      </c>
    </row>
    <row r="48" spans="1:34" x14ac:dyDescent="0.25">
      <c r="A48">
        <v>47</v>
      </c>
      <c r="B48" t="s">
        <v>103</v>
      </c>
      <c r="C48" t="str">
        <f>ASET_data[[#This Row],[ASET_scenario]]&amp;ASET_data[[#This Row],[Corridor_length]]</f>
        <v>G22</v>
      </c>
      <c r="D48" t="str" cm="1">
        <f t="array" ref="D48">INDEX(fire_location_2[fire_location_2],
  MOD(INT((ROW()-ROW($D$2)) / (ROWS(sprinkler_2[sprinkler_2])*ROWS(door_2[door_2])*ROWS(corridor_2[corridor_2]))),
  ROWS(fire_location_2[fire_location_2])) + 1)</f>
        <v>Corridor</v>
      </c>
      <c r="E48" t="str" cm="1">
        <f t="array" ref="E48">INDEX(sprinkler_2[sprinkler_2],
  MOD(INT((ROW()-ROW($D$2)) / (ROWS(door_2[door_2])*ROWS(corridor_2[corridor_2]))),
  ROWS(sprinkler_2[sprinkler_2])) + 1)</f>
        <v>Fail</v>
      </c>
      <c r="F48" t="str" cm="1">
        <f t="array" ref="F48">INDEX(door_2[door_2],
  MOD(INT((ROW()-ROW($D$2)) / ROWS(corridor_2[corridor_2])),
  ROWS(door_2[door_2])) + 1)</f>
        <v>open</v>
      </c>
      <c r="G48" cm="1">
        <f t="array" ref="G48">INDEX(corridor_2[corridor_2],
  MOD(ROW()-ROW($D$2), ROWS(corridor_2[corridor_2])) + 1)</f>
        <v>22</v>
      </c>
      <c r="H48" t="str">
        <f>ASET_data[[#This Row],[Location]]&amp;ASET_data[[#This Row],[Corridor_length]]</f>
        <v>Corridor22</v>
      </c>
      <c r="I48" t="str">
        <f>_xlfn.XLOOKUP(ASET_data[[#This Row],[location_length]],RSET_lookup[location_length],RSET_lookup[RSET_helper])</f>
        <v>E22</v>
      </c>
      <c r="J48" t="str">
        <f t="shared" si="2"/>
        <v>Corridor_Fail_open_22</v>
      </c>
      <c r="K48" s="3">
        <v>116</v>
      </c>
      <c r="L48" s="3" t="s">
        <v>86</v>
      </c>
      <c r="M48">
        <f t="shared" si="15"/>
        <v>88</v>
      </c>
      <c r="N48" s="3">
        <v>48</v>
      </c>
      <c r="O48" s="3">
        <v>215</v>
      </c>
      <c r="P48">
        <f t="shared" si="16"/>
        <v>48</v>
      </c>
      <c r="R48" s="3">
        <v>88</v>
      </c>
      <c r="S48" s="3">
        <v>48</v>
      </c>
      <c r="U48">
        <f t="shared" si="3"/>
        <v>110</v>
      </c>
      <c r="V48">
        <f t="shared" si="4"/>
        <v>60</v>
      </c>
      <c r="X48">
        <f t="shared" si="5"/>
        <v>132</v>
      </c>
      <c r="Y48">
        <f t="shared" si="6"/>
        <v>72</v>
      </c>
      <c r="AA48">
        <f t="shared" si="7"/>
        <v>176</v>
      </c>
      <c r="AB48">
        <f t="shared" si="8"/>
        <v>96</v>
      </c>
      <c r="AD48">
        <f t="shared" si="9"/>
        <v>66</v>
      </c>
      <c r="AE48">
        <f t="shared" si="10"/>
        <v>36</v>
      </c>
      <c r="AG48">
        <f t="shared" si="11"/>
        <v>44</v>
      </c>
      <c r="AH48">
        <f t="shared" si="12"/>
        <v>24</v>
      </c>
    </row>
    <row r="49" spans="1:34" x14ac:dyDescent="0.25">
      <c r="A49">
        <v>48</v>
      </c>
      <c r="B49" t="s">
        <v>103</v>
      </c>
      <c r="C49" t="str">
        <f>ASET_data[[#This Row],[ASET_scenario]]&amp;ASET_data[[#This Row],[Corridor_length]]</f>
        <v>G26</v>
      </c>
      <c r="D49" t="str" cm="1">
        <f t="array" ref="D49">INDEX(fire_location_2[fire_location_2],
  MOD(INT((ROW()-ROW($D$2)) / (ROWS(sprinkler_2[sprinkler_2])*ROWS(door_2[door_2])*ROWS(corridor_2[corridor_2]))),
  ROWS(fire_location_2[fire_location_2])) + 1)</f>
        <v>Corridor</v>
      </c>
      <c r="E49" t="str" cm="1">
        <f t="array" ref="E49">INDEX(sprinkler_2[sprinkler_2],
  MOD(INT((ROW()-ROW($D$2)) / (ROWS(door_2[door_2])*ROWS(corridor_2[corridor_2]))),
  ROWS(sprinkler_2[sprinkler_2])) + 1)</f>
        <v>Fail</v>
      </c>
      <c r="F49" t="str" cm="1">
        <f t="array" ref="F49">INDEX(door_2[door_2],
  MOD(INT((ROW()-ROW($D$2)) / ROWS(corridor_2[corridor_2])),
  ROWS(door_2[door_2])) + 1)</f>
        <v>open</v>
      </c>
      <c r="G49" cm="1">
        <f t="array" ref="G49">INDEX(corridor_2[corridor_2],
  MOD(ROW()-ROW($D$2), ROWS(corridor_2[corridor_2])) + 1)</f>
        <v>26</v>
      </c>
      <c r="H49" t="str">
        <f>ASET_data[[#This Row],[Location]]&amp;ASET_data[[#This Row],[Corridor_length]]</f>
        <v>Corridor26</v>
      </c>
      <c r="I49" t="str">
        <f>_xlfn.XLOOKUP(ASET_data[[#This Row],[location_length]],RSET_lookup[location_length],RSET_lookup[RSET_helper])</f>
        <v>E26</v>
      </c>
      <c r="J49" t="str">
        <f t="shared" si="2"/>
        <v>Corridor_Fail_open_26</v>
      </c>
      <c r="K49">
        <v>122</v>
      </c>
      <c r="L49" t="s">
        <v>86</v>
      </c>
      <c r="M49">
        <f t="shared" si="15"/>
        <v>93</v>
      </c>
      <c r="N49">
        <v>48</v>
      </c>
      <c r="O49">
        <v>221</v>
      </c>
      <c r="P49">
        <f t="shared" si="16"/>
        <v>49</v>
      </c>
      <c r="R49">
        <v>93</v>
      </c>
      <c r="S49">
        <v>49</v>
      </c>
      <c r="U49">
        <f t="shared" si="3"/>
        <v>116.25</v>
      </c>
      <c r="V49">
        <f t="shared" si="4"/>
        <v>61.25</v>
      </c>
      <c r="X49">
        <f t="shared" si="5"/>
        <v>139.5</v>
      </c>
      <c r="Y49">
        <f t="shared" si="6"/>
        <v>73.5</v>
      </c>
      <c r="AA49">
        <f t="shared" si="7"/>
        <v>186</v>
      </c>
      <c r="AB49">
        <f t="shared" si="8"/>
        <v>98</v>
      </c>
      <c r="AD49">
        <f t="shared" si="9"/>
        <v>69.75</v>
      </c>
      <c r="AE49">
        <f t="shared" si="10"/>
        <v>36.75</v>
      </c>
      <c r="AG49">
        <f t="shared" si="11"/>
        <v>46.5</v>
      </c>
      <c r="AH49">
        <f t="shared" si="12"/>
        <v>24.5</v>
      </c>
    </row>
    <row r="50" spans="1:34" x14ac:dyDescent="0.25">
      <c r="A50">
        <v>49</v>
      </c>
      <c r="B50" t="s">
        <v>103</v>
      </c>
      <c r="C50" t="str">
        <f>ASET_data[[#This Row],[ASET_scenario]]&amp;ASET_data[[#This Row],[Corridor_length]]</f>
        <v>G30</v>
      </c>
      <c r="D50" t="str" cm="1">
        <f t="array" ref="D50">INDEX(fire_location_2[fire_location_2],
  MOD(INT((ROW()-ROW($D$2)) / (ROWS(sprinkler_2[sprinkler_2])*ROWS(door_2[door_2])*ROWS(corridor_2[corridor_2]))),
  ROWS(fire_location_2[fire_location_2])) + 1)</f>
        <v>Corridor</v>
      </c>
      <c r="E50" t="str" cm="1">
        <f t="array" ref="E50">INDEX(sprinkler_2[sprinkler_2],
  MOD(INT((ROW()-ROW($D$2)) / (ROWS(door_2[door_2])*ROWS(corridor_2[corridor_2]))),
  ROWS(sprinkler_2[sprinkler_2])) + 1)</f>
        <v>Fail</v>
      </c>
      <c r="F50" t="str" cm="1">
        <f t="array" ref="F50">INDEX(door_2[door_2],
  MOD(INT((ROW()-ROW($D$2)) / ROWS(corridor_2[corridor_2])),
  ROWS(door_2[door_2])) + 1)</f>
        <v>open</v>
      </c>
      <c r="G50" cm="1">
        <f t="array" ref="G50">INDEX(corridor_2[corridor_2],
  MOD(ROW()-ROW($D$2), ROWS(corridor_2[corridor_2])) + 1)</f>
        <v>30</v>
      </c>
      <c r="H50" t="str">
        <f>ASET_data[[#This Row],[Location]]&amp;ASET_data[[#This Row],[Corridor_length]]</f>
        <v>Corridor30</v>
      </c>
      <c r="I50" t="str">
        <f>_xlfn.XLOOKUP(ASET_data[[#This Row],[location_length]],RSET_lookup[location_length],RSET_lookup[RSET_helper])</f>
        <v>E30</v>
      </c>
      <c r="J50" t="str">
        <f t="shared" si="2"/>
        <v>Corridor_Fail_open_30</v>
      </c>
      <c r="K50" s="3">
        <v>128</v>
      </c>
      <c r="L50" s="3" t="s">
        <v>86</v>
      </c>
      <c r="M50">
        <f t="shared" si="15"/>
        <v>98</v>
      </c>
      <c r="N50" s="3">
        <v>48</v>
      </c>
      <c r="O50" s="3">
        <v>228</v>
      </c>
      <c r="P50">
        <f t="shared" si="16"/>
        <v>52</v>
      </c>
      <c r="R50" s="3">
        <v>98</v>
      </c>
      <c r="S50" s="3">
        <v>52</v>
      </c>
      <c r="U50">
        <f t="shared" si="3"/>
        <v>122.5</v>
      </c>
      <c r="V50">
        <f t="shared" si="4"/>
        <v>65</v>
      </c>
      <c r="X50">
        <f t="shared" si="5"/>
        <v>147</v>
      </c>
      <c r="Y50">
        <f t="shared" si="6"/>
        <v>78</v>
      </c>
      <c r="AA50">
        <f t="shared" si="7"/>
        <v>196</v>
      </c>
      <c r="AB50">
        <f t="shared" si="8"/>
        <v>104</v>
      </c>
      <c r="AD50">
        <f t="shared" si="9"/>
        <v>73.5</v>
      </c>
      <c r="AE50">
        <f t="shared" si="10"/>
        <v>39</v>
      </c>
      <c r="AG50">
        <f t="shared" si="11"/>
        <v>49</v>
      </c>
      <c r="AH50">
        <f t="shared" si="12"/>
        <v>26</v>
      </c>
    </row>
    <row r="51" spans="1:34" x14ac:dyDescent="0.25">
      <c r="A51">
        <v>50</v>
      </c>
      <c r="B51" t="s">
        <v>16</v>
      </c>
      <c r="C51" t="str">
        <f>ASET_data[[#This Row],[ASET_scenario]]&amp;ASET_data[[#This Row],[Corridor_length]]</f>
        <v>H6</v>
      </c>
      <c r="D51" t="str" cm="1">
        <f t="array" ref="D51">INDEX(fire_location_2[fire_location_2],
  MOD(INT((ROW()-ROW($D$2)) / (ROWS(sprinkler_2[sprinkler_2])*ROWS(door_2[door_2])*ROWS(corridor_2[corridor_2]))),
  ROWS(fire_location_2[fire_location_2])) + 1)</f>
        <v>Corridor</v>
      </c>
      <c r="E51" t="str" cm="1">
        <f t="array" ref="E51">INDEX(sprinkler_2[sprinkler_2],
  MOD(INT((ROW()-ROW($D$2)) / (ROWS(door_2[door_2])*ROWS(corridor_2[corridor_2]))),
  ROWS(sprinkler_2[sprinkler_2])) + 1)</f>
        <v>Fail</v>
      </c>
      <c r="F51" t="str" cm="1">
        <f t="array" ref="F51">INDEX(door_2[door_2],
  MOD(INT((ROW()-ROW($D$2)) / ROWS(corridor_2[corridor_2])),
  ROWS(door_2[door_2])) + 1)</f>
        <v>close</v>
      </c>
      <c r="G51" cm="1">
        <f t="array" ref="G51">INDEX(corridor_2[corridor_2],
  MOD(ROW()-ROW($D$2), ROWS(corridor_2[corridor_2])) + 1)</f>
        <v>6</v>
      </c>
      <c r="H51" t="str">
        <f>ASET_data[[#This Row],[Location]]&amp;ASET_data[[#This Row],[Corridor_length]]</f>
        <v>Corridor6</v>
      </c>
      <c r="I51" t="str">
        <f>_xlfn.XLOOKUP(ASET_data[[#This Row],[location_length]],RSET_lookup[location_length],RSET_lookup[RSET_helper])</f>
        <v>E6</v>
      </c>
      <c r="J51" t="str">
        <f t="shared" si="2"/>
        <v>Corridor_Fail_close_6</v>
      </c>
      <c r="K51">
        <f>ASET_data[[#This Row],[cor_SD]]+300</f>
        <v>339</v>
      </c>
      <c r="L51" t="s">
        <v>86</v>
      </c>
      <c r="M51">
        <f t="shared" si="15"/>
        <v>3600</v>
      </c>
      <c r="N51">
        <v>39</v>
      </c>
      <c r="O51">
        <v>204</v>
      </c>
      <c r="P51">
        <f t="shared" si="16"/>
        <v>22</v>
      </c>
      <c r="R51">
        <f t="shared" ref="R51:R57" si="17">60*60</f>
        <v>3600</v>
      </c>
      <c r="S51">
        <v>22</v>
      </c>
      <c r="U51">
        <f t="shared" si="3"/>
        <v>4500</v>
      </c>
      <c r="V51">
        <f t="shared" si="4"/>
        <v>27.5</v>
      </c>
      <c r="X51">
        <f t="shared" si="5"/>
        <v>5400</v>
      </c>
      <c r="Y51">
        <f t="shared" si="6"/>
        <v>33</v>
      </c>
      <c r="AA51">
        <f t="shared" si="7"/>
        <v>7200</v>
      </c>
      <c r="AB51">
        <f t="shared" si="8"/>
        <v>44</v>
      </c>
      <c r="AD51">
        <f t="shared" si="9"/>
        <v>2700</v>
      </c>
      <c r="AE51">
        <f t="shared" si="10"/>
        <v>16.5</v>
      </c>
      <c r="AG51">
        <f t="shared" si="11"/>
        <v>1800</v>
      </c>
      <c r="AH51">
        <f t="shared" si="12"/>
        <v>11</v>
      </c>
    </row>
    <row r="52" spans="1:34" x14ac:dyDescent="0.25">
      <c r="A52">
        <v>51</v>
      </c>
      <c r="B52" t="s">
        <v>16</v>
      </c>
      <c r="C52" t="str">
        <f>ASET_data[[#This Row],[ASET_scenario]]&amp;ASET_data[[#This Row],[Corridor_length]]</f>
        <v>H10</v>
      </c>
      <c r="D52" t="str" cm="1">
        <f t="array" ref="D52">INDEX(fire_location_2[fire_location_2],
  MOD(INT((ROW()-ROW($D$2)) / (ROWS(sprinkler_2[sprinkler_2])*ROWS(door_2[door_2])*ROWS(corridor_2[corridor_2]))),
  ROWS(fire_location_2[fire_location_2])) + 1)</f>
        <v>Corridor</v>
      </c>
      <c r="E52" t="str" cm="1">
        <f t="array" ref="E52">INDEX(sprinkler_2[sprinkler_2],
  MOD(INT((ROW()-ROW($D$2)) / (ROWS(door_2[door_2])*ROWS(corridor_2[corridor_2]))),
  ROWS(sprinkler_2[sprinkler_2])) + 1)</f>
        <v>Fail</v>
      </c>
      <c r="F52" t="str" cm="1">
        <f t="array" ref="F52">INDEX(door_2[door_2],
  MOD(INT((ROW()-ROW($D$2)) / ROWS(corridor_2[corridor_2])),
  ROWS(door_2[door_2])) + 1)</f>
        <v>close</v>
      </c>
      <c r="G52" cm="1">
        <f t="array" ref="G52">INDEX(corridor_2[corridor_2],
  MOD(ROW()-ROW($D$2), ROWS(corridor_2[corridor_2])) + 1)</f>
        <v>10</v>
      </c>
      <c r="H52" t="str">
        <f>ASET_data[[#This Row],[Location]]&amp;ASET_data[[#This Row],[Corridor_length]]</f>
        <v>Corridor10</v>
      </c>
      <c r="I52" t="str">
        <f>_xlfn.XLOOKUP(ASET_data[[#This Row],[location_length]],RSET_lookup[location_length],RSET_lookup[RSET_helper])</f>
        <v>E10</v>
      </c>
      <c r="J52" t="str">
        <f t="shared" si="2"/>
        <v>Corridor_Fail_close_10</v>
      </c>
      <c r="K52">
        <f>ASET_data[[#This Row],[cor_SD]]+300</f>
        <v>341</v>
      </c>
      <c r="L52" s="3" t="s">
        <v>86</v>
      </c>
      <c r="M52">
        <f t="shared" si="15"/>
        <v>3600</v>
      </c>
      <c r="N52" s="3">
        <v>41</v>
      </c>
      <c r="O52" s="3">
        <v>213</v>
      </c>
      <c r="P52">
        <f t="shared" si="16"/>
        <v>29</v>
      </c>
      <c r="R52">
        <f t="shared" si="17"/>
        <v>3600</v>
      </c>
      <c r="S52" s="3">
        <v>29</v>
      </c>
      <c r="U52">
        <f t="shared" si="3"/>
        <v>4500</v>
      </c>
      <c r="V52">
        <f t="shared" si="4"/>
        <v>36.25</v>
      </c>
      <c r="X52">
        <f t="shared" si="5"/>
        <v>5400</v>
      </c>
      <c r="Y52">
        <f t="shared" si="6"/>
        <v>43.5</v>
      </c>
      <c r="AA52">
        <f t="shared" si="7"/>
        <v>7200</v>
      </c>
      <c r="AB52">
        <f t="shared" si="8"/>
        <v>58</v>
      </c>
      <c r="AD52">
        <f t="shared" si="9"/>
        <v>2700</v>
      </c>
      <c r="AE52">
        <f t="shared" si="10"/>
        <v>21.75</v>
      </c>
      <c r="AG52">
        <f t="shared" si="11"/>
        <v>1800</v>
      </c>
      <c r="AH52">
        <f t="shared" si="12"/>
        <v>14.5</v>
      </c>
    </row>
    <row r="53" spans="1:34" x14ac:dyDescent="0.25">
      <c r="A53">
        <v>52</v>
      </c>
      <c r="B53" t="s">
        <v>16</v>
      </c>
      <c r="C53" t="str">
        <f>ASET_data[[#This Row],[ASET_scenario]]&amp;ASET_data[[#This Row],[Corridor_length]]</f>
        <v>H14</v>
      </c>
      <c r="D53" t="str" cm="1">
        <f t="array" ref="D53">INDEX(fire_location_2[fire_location_2],
  MOD(INT((ROW()-ROW($D$2)) / (ROWS(sprinkler_2[sprinkler_2])*ROWS(door_2[door_2])*ROWS(corridor_2[corridor_2]))),
  ROWS(fire_location_2[fire_location_2])) + 1)</f>
        <v>Corridor</v>
      </c>
      <c r="E53" t="str" cm="1">
        <f t="array" ref="E53">INDEX(sprinkler_2[sprinkler_2],
  MOD(INT((ROW()-ROW($D$2)) / (ROWS(door_2[door_2])*ROWS(corridor_2[corridor_2]))),
  ROWS(sprinkler_2[sprinkler_2])) + 1)</f>
        <v>Fail</v>
      </c>
      <c r="F53" t="str" cm="1">
        <f t="array" ref="F53">INDEX(door_2[door_2],
  MOD(INT((ROW()-ROW($D$2)) / ROWS(corridor_2[corridor_2])),
  ROWS(door_2[door_2])) + 1)</f>
        <v>close</v>
      </c>
      <c r="G53" cm="1">
        <f t="array" ref="G53">INDEX(corridor_2[corridor_2],
  MOD(ROW()-ROW($D$2), ROWS(corridor_2[corridor_2])) + 1)</f>
        <v>14</v>
      </c>
      <c r="H53" t="str">
        <f>ASET_data[[#This Row],[Location]]&amp;ASET_data[[#This Row],[Corridor_length]]</f>
        <v>Corridor14</v>
      </c>
      <c r="I53" t="str">
        <f>_xlfn.XLOOKUP(ASET_data[[#This Row],[location_length]],RSET_lookup[location_length],RSET_lookup[RSET_helper])</f>
        <v>E14</v>
      </c>
      <c r="J53" t="str">
        <f t="shared" si="2"/>
        <v>Corridor_Fail_close_14</v>
      </c>
      <c r="K53">
        <f>ASET_data[[#This Row],[cor_SD]]+300</f>
        <v>339</v>
      </c>
      <c r="L53" t="s">
        <v>86</v>
      </c>
      <c r="M53">
        <f t="shared" si="15"/>
        <v>3600</v>
      </c>
      <c r="N53">
        <v>39</v>
      </c>
      <c r="O53">
        <v>223</v>
      </c>
      <c r="P53">
        <f t="shared" si="16"/>
        <v>35</v>
      </c>
      <c r="R53">
        <f t="shared" si="17"/>
        <v>3600</v>
      </c>
      <c r="S53">
        <v>35</v>
      </c>
      <c r="U53">
        <f t="shared" si="3"/>
        <v>4500</v>
      </c>
      <c r="V53">
        <f t="shared" si="4"/>
        <v>43.75</v>
      </c>
      <c r="X53">
        <f t="shared" si="5"/>
        <v>5400</v>
      </c>
      <c r="Y53">
        <f t="shared" si="6"/>
        <v>52.5</v>
      </c>
      <c r="AA53">
        <f t="shared" si="7"/>
        <v>7200</v>
      </c>
      <c r="AB53">
        <f t="shared" si="8"/>
        <v>70</v>
      </c>
      <c r="AD53">
        <f t="shared" si="9"/>
        <v>2700</v>
      </c>
      <c r="AE53">
        <f t="shared" si="10"/>
        <v>26.25</v>
      </c>
      <c r="AG53">
        <f t="shared" si="11"/>
        <v>1800</v>
      </c>
      <c r="AH53">
        <f t="shared" si="12"/>
        <v>17.5</v>
      </c>
    </row>
    <row r="54" spans="1:34" x14ac:dyDescent="0.25">
      <c r="A54">
        <v>53</v>
      </c>
      <c r="B54" t="s">
        <v>16</v>
      </c>
      <c r="C54" t="str">
        <f>ASET_data[[#This Row],[ASET_scenario]]&amp;ASET_data[[#This Row],[Corridor_length]]</f>
        <v>H18</v>
      </c>
      <c r="D54" t="str" cm="1">
        <f t="array" ref="D54">INDEX(fire_location_2[fire_location_2],
  MOD(INT((ROW()-ROW($D$2)) / (ROWS(sprinkler_2[sprinkler_2])*ROWS(door_2[door_2])*ROWS(corridor_2[corridor_2]))),
  ROWS(fire_location_2[fire_location_2])) + 1)</f>
        <v>Corridor</v>
      </c>
      <c r="E54" t="str" cm="1">
        <f t="array" ref="E54">INDEX(sprinkler_2[sprinkler_2],
  MOD(INT((ROW()-ROW($D$2)) / (ROWS(door_2[door_2])*ROWS(corridor_2[corridor_2]))),
  ROWS(sprinkler_2[sprinkler_2])) + 1)</f>
        <v>Fail</v>
      </c>
      <c r="F54" t="str" cm="1">
        <f t="array" ref="F54">INDEX(door_2[door_2],
  MOD(INT((ROW()-ROW($D$2)) / ROWS(corridor_2[corridor_2])),
  ROWS(door_2[door_2])) + 1)</f>
        <v>close</v>
      </c>
      <c r="G54" cm="1">
        <f t="array" ref="G54">INDEX(corridor_2[corridor_2],
  MOD(ROW()-ROW($D$2), ROWS(corridor_2[corridor_2])) + 1)</f>
        <v>18</v>
      </c>
      <c r="H54" t="str">
        <f>ASET_data[[#This Row],[Location]]&amp;ASET_data[[#This Row],[Corridor_length]]</f>
        <v>Corridor18</v>
      </c>
      <c r="I54" t="str">
        <f>_xlfn.XLOOKUP(ASET_data[[#This Row],[location_length]],RSET_lookup[location_length],RSET_lookup[RSET_helper])</f>
        <v>E18</v>
      </c>
      <c r="J54" t="str">
        <f t="shared" si="2"/>
        <v>Corridor_Fail_close_18</v>
      </c>
      <c r="K54">
        <f>ASET_data[[#This Row],[cor_SD]]+300</f>
        <v>339</v>
      </c>
      <c r="L54" s="3" t="s">
        <v>86</v>
      </c>
      <c r="M54">
        <f t="shared" si="15"/>
        <v>3600</v>
      </c>
      <c r="N54" s="3">
        <v>39</v>
      </c>
      <c r="O54" s="3">
        <v>232</v>
      </c>
      <c r="P54">
        <f t="shared" si="16"/>
        <v>40</v>
      </c>
      <c r="R54">
        <f t="shared" si="17"/>
        <v>3600</v>
      </c>
      <c r="S54" s="3">
        <v>40</v>
      </c>
      <c r="U54">
        <f t="shared" si="3"/>
        <v>4500</v>
      </c>
      <c r="V54">
        <f t="shared" si="4"/>
        <v>50</v>
      </c>
      <c r="X54">
        <f t="shared" si="5"/>
        <v>5400</v>
      </c>
      <c r="Y54">
        <f t="shared" si="6"/>
        <v>60</v>
      </c>
      <c r="AA54">
        <f t="shared" si="7"/>
        <v>7200</v>
      </c>
      <c r="AB54">
        <f t="shared" si="8"/>
        <v>80</v>
      </c>
      <c r="AD54">
        <f t="shared" si="9"/>
        <v>2700</v>
      </c>
      <c r="AE54">
        <f t="shared" si="10"/>
        <v>30</v>
      </c>
      <c r="AG54">
        <f t="shared" si="11"/>
        <v>1800</v>
      </c>
      <c r="AH54">
        <f t="shared" si="12"/>
        <v>20</v>
      </c>
    </row>
    <row r="55" spans="1:34" x14ac:dyDescent="0.25">
      <c r="A55">
        <v>54</v>
      </c>
      <c r="B55" t="s">
        <v>16</v>
      </c>
      <c r="C55" t="str">
        <f>ASET_data[[#This Row],[ASET_scenario]]&amp;ASET_data[[#This Row],[Corridor_length]]</f>
        <v>H22</v>
      </c>
      <c r="D55" t="str" cm="1">
        <f t="array" ref="D55">INDEX(fire_location_2[fire_location_2],
  MOD(INT((ROW()-ROW($D$2)) / (ROWS(sprinkler_2[sprinkler_2])*ROWS(door_2[door_2])*ROWS(corridor_2[corridor_2]))),
  ROWS(fire_location_2[fire_location_2])) + 1)</f>
        <v>Corridor</v>
      </c>
      <c r="E55" t="str" cm="1">
        <f t="array" ref="E55">INDEX(sprinkler_2[sprinkler_2],
  MOD(INT((ROW()-ROW($D$2)) / (ROWS(door_2[door_2])*ROWS(corridor_2[corridor_2]))),
  ROWS(sprinkler_2[sprinkler_2])) + 1)</f>
        <v>Fail</v>
      </c>
      <c r="F55" t="str" cm="1">
        <f t="array" ref="F55">INDEX(door_2[door_2],
  MOD(INT((ROW()-ROW($D$2)) / ROWS(corridor_2[corridor_2])),
  ROWS(door_2[door_2])) + 1)</f>
        <v>close</v>
      </c>
      <c r="G55" cm="1">
        <f t="array" ref="G55">INDEX(corridor_2[corridor_2],
  MOD(ROW()-ROW($D$2), ROWS(corridor_2[corridor_2])) + 1)</f>
        <v>22</v>
      </c>
      <c r="H55" t="str">
        <f>ASET_data[[#This Row],[Location]]&amp;ASET_data[[#This Row],[Corridor_length]]</f>
        <v>Corridor22</v>
      </c>
      <c r="I55" t="str">
        <f>_xlfn.XLOOKUP(ASET_data[[#This Row],[location_length]],RSET_lookup[location_length],RSET_lookup[RSET_helper])</f>
        <v>E22</v>
      </c>
      <c r="J55" t="str">
        <f t="shared" si="2"/>
        <v>Corridor_Fail_close_22</v>
      </c>
      <c r="K55">
        <f>ASET_data[[#This Row],[cor_SD]]+300</f>
        <v>339</v>
      </c>
      <c r="L55" t="s">
        <v>86</v>
      </c>
      <c r="M55">
        <f t="shared" si="15"/>
        <v>3600</v>
      </c>
      <c r="N55">
        <v>39</v>
      </c>
      <c r="O55">
        <v>239</v>
      </c>
      <c r="P55">
        <f t="shared" si="16"/>
        <v>45</v>
      </c>
      <c r="R55">
        <f t="shared" si="17"/>
        <v>3600</v>
      </c>
      <c r="S55">
        <v>45</v>
      </c>
      <c r="U55">
        <f t="shared" si="3"/>
        <v>4500</v>
      </c>
      <c r="V55">
        <f t="shared" si="4"/>
        <v>56.25</v>
      </c>
      <c r="X55">
        <f t="shared" si="5"/>
        <v>5400</v>
      </c>
      <c r="Y55">
        <f t="shared" si="6"/>
        <v>67.5</v>
      </c>
      <c r="AA55">
        <f t="shared" si="7"/>
        <v>7200</v>
      </c>
      <c r="AB55">
        <f t="shared" si="8"/>
        <v>90</v>
      </c>
      <c r="AD55">
        <f t="shared" si="9"/>
        <v>2700</v>
      </c>
      <c r="AE55">
        <f t="shared" si="10"/>
        <v>33.75</v>
      </c>
      <c r="AG55">
        <f t="shared" si="11"/>
        <v>1800</v>
      </c>
      <c r="AH55">
        <f t="shared" si="12"/>
        <v>22.5</v>
      </c>
    </row>
    <row r="56" spans="1:34" x14ac:dyDescent="0.25">
      <c r="A56">
        <v>55</v>
      </c>
      <c r="B56" t="s">
        <v>16</v>
      </c>
      <c r="C56" t="str">
        <f>ASET_data[[#This Row],[ASET_scenario]]&amp;ASET_data[[#This Row],[Corridor_length]]</f>
        <v>H26</v>
      </c>
      <c r="D56" t="str" cm="1">
        <f t="array" ref="D56">INDEX(fire_location_2[fire_location_2],
  MOD(INT((ROW()-ROW($D$2)) / (ROWS(sprinkler_2[sprinkler_2])*ROWS(door_2[door_2])*ROWS(corridor_2[corridor_2]))),
  ROWS(fire_location_2[fire_location_2])) + 1)</f>
        <v>Corridor</v>
      </c>
      <c r="E56" t="str" cm="1">
        <f t="array" ref="E56">INDEX(sprinkler_2[sprinkler_2],
  MOD(INT((ROW()-ROW($D$2)) / (ROWS(door_2[door_2])*ROWS(corridor_2[corridor_2]))),
  ROWS(sprinkler_2[sprinkler_2])) + 1)</f>
        <v>Fail</v>
      </c>
      <c r="F56" t="str" cm="1">
        <f t="array" ref="F56">INDEX(door_2[door_2],
  MOD(INT((ROW()-ROW($D$2)) / ROWS(corridor_2[corridor_2])),
  ROWS(door_2[door_2])) + 1)</f>
        <v>close</v>
      </c>
      <c r="G56" cm="1">
        <f t="array" ref="G56">INDEX(corridor_2[corridor_2],
  MOD(ROW()-ROW($D$2), ROWS(corridor_2[corridor_2])) + 1)</f>
        <v>26</v>
      </c>
      <c r="H56" t="str">
        <f>ASET_data[[#This Row],[Location]]&amp;ASET_data[[#This Row],[Corridor_length]]</f>
        <v>Corridor26</v>
      </c>
      <c r="I56" t="str">
        <f>_xlfn.XLOOKUP(ASET_data[[#This Row],[location_length]],RSET_lookup[location_length],RSET_lookup[RSET_helper])</f>
        <v>E26</v>
      </c>
      <c r="J56" t="str">
        <f t="shared" si="2"/>
        <v>Corridor_Fail_close_26</v>
      </c>
      <c r="K56">
        <f>ASET_data[[#This Row],[cor_SD]]+300</f>
        <v>338</v>
      </c>
      <c r="L56" s="3" t="s">
        <v>86</v>
      </c>
      <c r="M56">
        <f t="shared" si="15"/>
        <v>3600</v>
      </c>
      <c r="N56" s="3">
        <v>38</v>
      </c>
      <c r="O56" s="3">
        <v>247</v>
      </c>
      <c r="P56">
        <f t="shared" si="16"/>
        <v>49</v>
      </c>
      <c r="R56">
        <f t="shared" si="17"/>
        <v>3600</v>
      </c>
      <c r="S56" s="3">
        <v>49</v>
      </c>
      <c r="U56">
        <f t="shared" si="3"/>
        <v>4500</v>
      </c>
      <c r="V56">
        <f t="shared" si="4"/>
        <v>61.25</v>
      </c>
      <c r="X56">
        <f t="shared" si="5"/>
        <v>5400</v>
      </c>
      <c r="Y56">
        <f t="shared" si="6"/>
        <v>73.5</v>
      </c>
      <c r="AA56">
        <f t="shared" si="7"/>
        <v>7200</v>
      </c>
      <c r="AB56">
        <f t="shared" si="8"/>
        <v>98</v>
      </c>
      <c r="AD56">
        <f t="shared" si="9"/>
        <v>2700</v>
      </c>
      <c r="AE56">
        <f t="shared" si="10"/>
        <v>36.75</v>
      </c>
      <c r="AG56">
        <f t="shared" si="11"/>
        <v>1800</v>
      </c>
      <c r="AH56">
        <f t="shared" si="12"/>
        <v>24.5</v>
      </c>
    </row>
    <row r="57" spans="1:34" x14ac:dyDescent="0.25">
      <c r="A57">
        <v>56</v>
      </c>
      <c r="B57" t="s">
        <v>16</v>
      </c>
      <c r="C57" t="str">
        <f>ASET_data[[#This Row],[ASET_scenario]]&amp;ASET_data[[#This Row],[Corridor_length]]</f>
        <v>H30</v>
      </c>
      <c r="D57" t="str" cm="1">
        <f t="array" ref="D57">INDEX(fire_location_2[fire_location_2],
  MOD(INT((ROW()-ROW($D$2)) / (ROWS(sprinkler_2[sprinkler_2])*ROWS(door_2[door_2])*ROWS(corridor_2[corridor_2]))),
  ROWS(fire_location_2[fire_location_2])) + 1)</f>
        <v>Corridor</v>
      </c>
      <c r="E57" t="str" cm="1">
        <f t="array" ref="E57">INDEX(sprinkler_2[sprinkler_2],
  MOD(INT((ROW()-ROW($D$2)) / (ROWS(door_2[door_2])*ROWS(corridor_2[corridor_2]))),
  ROWS(sprinkler_2[sprinkler_2])) + 1)</f>
        <v>Fail</v>
      </c>
      <c r="F57" t="str" cm="1">
        <f t="array" ref="F57">INDEX(door_2[door_2],
  MOD(INT((ROW()-ROW($D$2)) / ROWS(corridor_2[corridor_2])),
  ROWS(door_2[door_2])) + 1)</f>
        <v>close</v>
      </c>
      <c r="G57" cm="1">
        <f t="array" ref="G57">INDEX(corridor_2[corridor_2],
  MOD(ROW()-ROW($D$2), ROWS(corridor_2[corridor_2])) + 1)</f>
        <v>30</v>
      </c>
      <c r="H57" t="str">
        <f>ASET_data[[#This Row],[Location]]&amp;ASET_data[[#This Row],[Corridor_length]]</f>
        <v>Corridor30</v>
      </c>
      <c r="I57" t="str">
        <f>_xlfn.XLOOKUP(ASET_data[[#This Row],[location_length]],RSET_lookup[location_length],RSET_lookup[RSET_helper])</f>
        <v>E30</v>
      </c>
      <c r="J57" t="str">
        <f t="shared" si="2"/>
        <v>Corridor_Fail_close_30</v>
      </c>
      <c r="K57">
        <f>ASET_data[[#This Row],[cor_SD]]+300</f>
        <v>338</v>
      </c>
      <c r="L57" t="s">
        <v>86</v>
      </c>
      <c r="M57">
        <f t="shared" si="15"/>
        <v>3600</v>
      </c>
      <c r="N57">
        <v>38</v>
      </c>
      <c r="O57">
        <v>254</v>
      </c>
      <c r="P57">
        <f t="shared" si="16"/>
        <v>53</v>
      </c>
      <c r="R57">
        <f t="shared" si="17"/>
        <v>3600</v>
      </c>
      <c r="S57">
        <v>53</v>
      </c>
      <c r="U57">
        <f t="shared" si="3"/>
        <v>4500</v>
      </c>
      <c r="V57">
        <f t="shared" si="4"/>
        <v>66.25</v>
      </c>
      <c r="X57">
        <f t="shared" si="5"/>
        <v>5400</v>
      </c>
      <c r="Y57">
        <f t="shared" si="6"/>
        <v>79.5</v>
      </c>
      <c r="AA57">
        <f t="shared" si="7"/>
        <v>7200</v>
      </c>
      <c r="AB57">
        <f t="shared" si="8"/>
        <v>106</v>
      </c>
      <c r="AD57">
        <f t="shared" si="9"/>
        <v>2700</v>
      </c>
      <c r="AE57">
        <f t="shared" si="10"/>
        <v>39.75</v>
      </c>
      <c r="AG57">
        <f t="shared" si="11"/>
        <v>1800</v>
      </c>
      <c r="AH57">
        <f t="shared" si="12"/>
        <v>26.5</v>
      </c>
    </row>
    <row r="58" spans="1:34" x14ac:dyDescent="0.25">
      <c r="A58">
        <v>57</v>
      </c>
      <c r="B58" t="s">
        <v>104</v>
      </c>
      <c r="C58" t="str">
        <f>ASET_data[[#This Row],[ASET_scenario]]&amp;ASET_data[[#This Row],[Corridor_length]]</f>
        <v>I6</v>
      </c>
      <c r="D58" t="str" cm="1">
        <f t="array" ref="D58">INDEX(fire_location_2[fire_location_2],
  MOD(INT((ROW()-ROW($D$2)) / (ROWS(sprinkler_2[sprinkler_2])*ROWS(door_2[door_2])*ROWS(corridor_2[corridor_2]))),
  ROWS(fire_location_2[fire_location_2])) + 1)</f>
        <v>Corridor</v>
      </c>
      <c r="E58" t="str" cm="1">
        <f t="array" ref="E58">INDEX(sprinkler_2[sprinkler_2],
  MOD(INT((ROW()-ROW($D$2)) / (ROWS(door_2[door_2])*ROWS(corridor_2[corridor_2]))),
  ROWS(sprinkler_2[sprinkler_2])) + 1)</f>
        <v>Fail</v>
      </c>
      <c r="F58" t="str" cm="1">
        <f t="array" ref="F58">INDEX(door_2[door_2],
  MOD(INT((ROW()-ROW($D$2)) / ROWS(corridor_2[corridor_2])),
  ROWS(door_2[door_2])) + 1)</f>
        <v>part</v>
      </c>
      <c r="G58" cm="1">
        <f t="array" ref="G58">INDEX(corridor_2[corridor_2],
  MOD(ROW()-ROW($D$2), ROWS(corridor_2[corridor_2])) + 1)</f>
        <v>6</v>
      </c>
      <c r="H58" t="str">
        <f>ASET_data[[#This Row],[Location]]&amp;ASET_data[[#This Row],[Corridor_length]]</f>
        <v>Corridor6</v>
      </c>
      <c r="I58" t="str">
        <f>_xlfn.XLOOKUP(ASET_data[[#This Row],[location_length]],RSET_lookup[location_length],RSET_lookup[RSET_helper])</f>
        <v>E6</v>
      </c>
      <c r="J58" t="str">
        <f t="shared" si="2"/>
        <v>Corridor_Fail_part_6</v>
      </c>
      <c r="K58" s="3">
        <v>67</v>
      </c>
      <c r="L58" s="3" t="s">
        <v>86</v>
      </c>
      <c r="M58">
        <f t="shared" si="15"/>
        <v>96</v>
      </c>
      <c r="N58" s="3">
        <v>39</v>
      </c>
      <c r="O58" s="3">
        <v>209</v>
      </c>
      <c r="P58">
        <f t="shared" si="16"/>
        <v>22</v>
      </c>
      <c r="R58" s="3">
        <v>96</v>
      </c>
      <c r="S58" s="3">
        <v>22</v>
      </c>
      <c r="U58">
        <f t="shared" si="3"/>
        <v>120</v>
      </c>
      <c r="V58">
        <f t="shared" si="4"/>
        <v>27.5</v>
      </c>
      <c r="X58">
        <f t="shared" si="5"/>
        <v>144</v>
      </c>
      <c r="Y58">
        <f t="shared" si="6"/>
        <v>33</v>
      </c>
      <c r="AA58">
        <f t="shared" si="7"/>
        <v>192</v>
      </c>
      <c r="AB58">
        <f t="shared" si="8"/>
        <v>44</v>
      </c>
      <c r="AD58">
        <f t="shared" si="9"/>
        <v>72</v>
      </c>
      <c r="AE58">
        <f t="shared" si="10"/>
        <v>16.5</v>
      </c>
      <c r="AG58">
        <f t="shared" si="11"/>
        <v>48</v>
      </c>
      <c r="AH58">
        <f t="shared" si="12"/>
        <v>11</v>
      </c>
    </row>
    <row r="59" spans="1:34" x14ac:dyDescent="0.25">
      <c r="A59">
        <v>58</v>
      </c>
      <c r="B59" t="s">
        <v>104</v>
      </c>
      <c r="C59" t="str">
        <f>ASET_data[[#This Row],[ASET_scenario]]&amp;ASET_data[[#This Row],[Corridor_length]]</f>
        <v>I10</v>
      </c>
      <c r="D59" t="str" cm="1">
        <f t="array" ref="D59">INDEX(fire_location_2[fire_location_2],
  MOD(INT((ROW()-ROW($D$2)) / (ROWS(sprinkler_2[sprinkler_2])*ROWS(door_2[door_2])*ROWS(corridor_2[corridor_2]))),
  ROWS(fire_location_2[fire_location_2])) + 1)</f>
        <v>Corridor</v>
      </c>
      <c r="E59" t="str" cm="1">
        <f t="array" ref="E59">INDEX(sprinkler_2[sprinkler_2],
  MOD(INT((ROW()-ROW($D$2)) / (ROWS(door_2[door_2])*ROWS(corridor_2[corridor_2]))),
  ROWS(sprinkler_2[sprinkler_2])) + 1)</f>
        <v>Fail</v>
      </c>
      <c r="F59" t="str" cm="1">
        <f t="array" ref="F59">INDEX(door_2[door_2],
  MOD(INT((ROW()-ROW($D$2)) / ROWS(corridor_2[corridor_2])),
  ROWS(door_2[door_2])) + 1)</f>
        <v>part</v>
      </c>
      <c r="G59" cm="1">
        <f t="array" ref="G59">INDEX(corridor_2[corridor_2],
  MOD(ROW()-ROW($D$2), ROWS(corridor_2[corridor_2])) + 1)</f>
        <v>10</v>
      </c>
      <c r="H59" t="str">
        <f>ASET_data[[#This Row],[Location]]&amp;ASET_data[[#This Row],[Corridor_length]]</f>
        <v>Corridor10</v>
      </c>
      <c r="I59" t="str">
        <f>_xlfn.XLOOKUP(ASET_data[[#This Row],[location_length]],RSET_lookup[location_length],RSET_lookup[RSET_helper])</f>
        <v>E10</v>
      </c>
      <c r="J59" t="str">
        <f t="shared" si="2"/>
        <v>Corridor_Fail_part_10</v>
      </c>
      <c r="K59">
        <v>74</v>
      </c>
      <c r="L59" t="s">
        <v>86</v>
      </c>
      <c r="M59">
        <f t="shared" si="15"/>
        <v>102</v>
      </c>
      <c r="N59">
        <v>41</v>
      </c>
      <c r="O59">
        <v>217</v>
      </c>
      <c r="P59">
        <f t="shared" si="16"/>
        <v>29</v>
      </c>
      <c r="R59">
        <v>102</v>
      </c>
      <c r="S59">
        <v>29</v>
      </c>
      <c r="U59">
        <f t="shared" si="3"/>
        <v>127.5</v>
      </c>
      <c r="V59">
        <f t="shared" si="4"/>
        <v>36.25</v>
      </c>
      <c r="X59">
        <f t="shared" si="5"/>
        <v>153</v>
      </c>
      <c r="Y59">
        <f t="shared" si="6"/>
        <v>43.5</v>
      </c>
      <c r="AA59">
        <f t="shared" si="7"/>
        <v>204</v>
      </c>
      <c r="AB59">
        <f t="shared" si="8"/>
        <v>58</v>
      </c>
      <c r="AD59">
        <f t="shared" si="9"/>
        <v>76.5</v>
      </c>
      <c r="AE59">
        <f t="shared" si="10"/>
        <v>21.75</v>
      </c>
      <c r="AG59">
        <f t="shared" si="11"/>
        <v>51</v>
      </c>
      <c r="AH59">
        <f t="shared" si="12"/>
        <v>14.5</v>
      </c>
    </row>
    <row r="60" spans="1:34" x14ac:dyDescent="0.25">
      <c r="A60">
        <v>59</v>
      </c>
      <c r="B60" t="s">
        <v>104</v>
      </c>
      <c r="C60" t="str">
        <f>ASET_data[[#This Row],[ASET_scenario]]&amp;ASET_data[[#This Row],[Corridor_length]]</f>
        <v>I14</v>
      </c>
      <c r="D60" t="str" cm="1">
        <f t="array" ref="D60">INDEX(fire_location_2[fire_location_2],
  MOD(INT((ROW()-ROW($D$2)) / (ROWS(sprinkler_2[sprinkler_2])*ROWS(door_2[door_2])*ROWS(corridor_2[corridor_2]))),
  ROWS(fire_location_2[fire_location_2])) + 1)</f>
        <v>Corridor</v>
      </c>
      <c r="E60" t="str" cm="1">
        <f t="array" ref="E60">INDEX(sprinkler_2[sprinkler_2],
  MOD(INT((ROW()-ROW($D$2)) / (ROWS(door_2[door_2])*ROWS(corridor_2[corridor_2]))),
  ROWS(sprinkler_2[sprinkler_2])) + 1)</f>
        <v>Fail</v>
      </c>
      <c r="F60" t="str" cm="1">
        <f t="array" ref="F60">INDEX(door_2[door_2],
  MOD(INT((ROW()-ROW($D$2)) / ROWS(corridor_2[corridor_2])),
  ROWS(door_2[door_2])) + 1)</f>
        <v>part</v>
      </c>
      <c r="G60" cm="1">
        <f t="array" ref="G60">INDEX(corridor_2[corridor_2],
  MOD(ROW()-ROW($D$2), ROWS(corridor_2[corridor_2])) + 1)</f>
        <v>14</v>
      </c>
      <c r="H60" t="str">
        <f>ASET_data[[#This Row],[Location]]&amp;ASET_data[[#This Row],[Corridor_length]]</f>
        <v>Corridor14</v>
      </c>
      <c r="I60" t="str">
        <f>_xlfn.XLOOKUP(ASET_data[[#This Row],[location_length]],RSET_lookup[location_length],RSET_lookup[RSET_helper])</f>
        <v>E14</v>
      </c>
      <c r="J60" t="str">
        <f t="shared" si="2"/>
        <v>Corridor_Fail_part_14</v>
      </c>
      <c r="K60" s="3">
        <v>79</v>
      </c>
      <c r="L60" s="3" t="s">
        <v>86</v>
      </c>
      <c r="M60">
        <f t="shared" si="15"/>
        <v>108</v>
      </c>
      <c r="N60" s="3">
        <v>39</v>
      </c>
      <c r="O60" s="3">
        <v>228</v>
      </c>
      <c r="P60">
        <f t="shared" si="16"/>
        <v>35</v>
      </c>
      <c r="R60" s="3">
        <v>108</v>
      </c>
      <c r="S60" s="3">
        <v>35</v>
      </c>
      <c r="U60">
        <f t="shared" si="3"/>
        <v>135</v>
      </c>
      <c r="V60">
        <f t="shared" si="4"/>
        <v>43.75</v>
      </c>
      <c r="X60">
        <f t="shared" si="5"/>
        <v>162</v>
      </c>
      <c r="Y60">
        <f t="shared" si="6"/>
        <v>52.5</v>
      </c>
      <c r="AA60">
        <f t="shared" si="7"/>
        <v>216</v>
      </c>
      <c r="AB60">
        <f t="shared" si="8"/>
        <v>70</v>
      </c>
      <c r="AD60">
        <f t="shared" si="9"/>
        <v>81</v>
      </c>
      <c r="AE60">
        <f t="shared" si="10"/>
        <v>26.25</v>
      </c>
      <c r="AG60">
        <f t="shared" si="11"/>
        <v>54</v>
      </c>
      <c r="AH60">
        <f t="shared" si="12"/>
        <v>17.5</v>
      </c>
    </row>
    <row r="61" spans="1:34" x14ac:dyDescent="0.25">
      <c r="A61">
        <v>60</v>
      </c>
      <c r="B61" t="s">
        <v>104</v>
      </c>
      <c r="C61" t="str">
        <f>ASET_data[[#This Row],[ASET_scenario]]&amp;ASET_data[[#This Row],[Corridor_length]]</f>
        <v>I18</v>
      </c>
      <c r="D61" t="str" cm="1">
        <f t="array" ref="D61">INDEX(fire_location_2[fire_location_2],
  MOD(INT((ROW()-ROW($D$2)) / (ROWS(sprinkler_2[sprinkler_2])*ROWS(door_2[door_2])*ROWS(corridor_2[corridor_2]))),
  ROWS(fire_location_2[fire_location_2])) + 1)</f>
        <v>Corridor</v>
      </c>
      <c r="E61" t="str" cm="1">
        <f t="array" ref="E61">INDEX(sprinkler_2[sprinkler_2],
  MOD(INT((ROW()-ROW($D$2)) / (ROWS(door_2[door_2])*ROWS(corridor_2[corridor_2]))),
  ROWS(sprinkler_2[sprinkler_2])) + 1)</f>
        <v>Fail</v>
      </c>
      <c r="F61" t="str" cm="1">
        <f t="array" ref="F61">INDEX(door_2[door_2],
  MOD(INT((ROW()-ROW($D$2)) / ROWS(corridor_2[corridor_2])),
  ROWS(door_2[door_2])) + 1)</f>
        <v>part</v>
      </c>
      <c r="G61" cm="1">
        <f t="array" ref="G61">INDEX(corridor_2[corridor_2],
  MOD(ROW()-ROW($D$2), ROWS(corridor_2[corridor_2])) + 1)</f>
        <v>18</v>
      </c>
      <c r="H61" t="str">
        <f>ASET_data[[#This Row],[Location]]&amp;ASET_data[[#This Row],[Corridor_length]]</f>
        <v>Corridor18</v>
      </c>
      <c r="I61" t="str">
        <f>_xlfn.XLOOKUP(ASET_data[[#This Row],[location_length]],RSET_lookup[location_length],RSET_lookup[RSET_helper])</f>
        <v>E18</v>
      </c>
      <c r="J61" t="str">
        <f t="shared" si="2"/>
        <v>Corridor_Fail_part_18</v>
      </c>
      <c r="K61">
        <v>83</v>
      </c>
      <c r="L61" t="s">
        <v>86</v>
      </c>
      <c r="M61">
        <f t="shared" si="15"/>
        <v>113</v>
      </c>
      <c r="N61">
        <v>39</v>
      </c>
      <c r="O61">
        <v>236</v>
      </c>
      <c r="P61">
        <f t="shared" si="16"/>
        <v>40</v>
      </c>
      <c r="R61">
        <v>113</v>
      </c>
      <c r="S61">
        <v>40</v>
      </c>
      <c r="U61">
        <f t="shared" si="3"/>
        <v>141.25</v>
      </c>
      <c r="V61">
        <f t="shared" si="4"/>
        <v>50</v>
      </c>
      <c r="X61">
        <f t="shared" si="5"/>
        <v>169.5</v>
      </c>
      <c r="Y61">
        <f t="shared" si="6"/>
        <v>60</v>
      </c>
      <c r="AA61">
        <f t="shared" si="7"/>
        <v>226</v>
      </c>
      <c r="AB61">
        <f t="shared" si="8"/>
        <v>80</v>
      </c>
      <c r="AD61">
        <f t="shared" si="9"/>
        <v>84.75</v>
      </c>
      <c r="AE61">
        <f t="shared" si="10"/>
        <v>30</v>
      </c>
      <c r="AG61">
        <f t="shared" si="11"/>
        <v>56.5</v>
      </c>
      <c r="AH61">
        <f t="shared" si="12"/>
        <v>20</v>
      </c>
    </row>
    <row r="62" spans="1:34" x14ac:dyDescent="0.25">
      <c r="A62">
        <v>61</v>
      </c>
      <c r="B62" t="s">
        <v>104</v>
      </c>
      <c r="C62" t="str">
        <f>ASET_data[[#This Row],[ASET_scenario]]&amp;ASET_data[[#This Row],[Corridor_length]]</f>
        <v>I22</v>
      </c>
      <c r="D62" t="str" cm="1">
        <f t="array" ref="D62">INDEX(fire_location_2[fire_location_2],
  MOD(INT((ROW()-ROW($D$2)) / (ROWS(sprinkler_2[sprinkler_2])*ROWS(door_2[door_2])*ROWS(corridor_2[corridor_2]))),
  ROWS(fire_location_2[fire_location_2])) + 1)</f>
        <v>Corridor</v>
      </c>
      <c r="E62" t="str" cm="1">
        <f t="array" ref="E62">INDEX(sprinkler_2[sprinkler_2],
  MOD(INT((ROW()-ROW($D$2)) / (ROWS(door_2[door_2])*ROWS(corridor_2[corridor_2]))),
  ROWS(sprinkler_2[sprinkler_2])) + 1)</f>
        <v>Fail</v>
      </c>
      <c r="F62" t="str" cm="1">
        <f t="array" ref="F62">INDEX(door_2[door_2],
  MOD(INT((ROW()-ROW($D$2)) / ROWS(corridor_2[corridor_2])),
  ROWS(door_2[door_2])) + 1)</f>
        <v>part</v>
      </c>
      <c r="G62" cm="1">
        <f t="array" ref="G62">INDEX(corridor_2[corridor_2],
  MOD(ROW()-ROW($D$2), ROWS(corridor_2[corridor_2])) + 1)</f>
        <v>22</v>
      </c>
      <c r="H62" t="str">
        <f>ASET_data[[#This Row],[Location]]&amp;ASET_data[[#This Row],[Corridor_length]]</f>
        <v>Corridor22</v>
      </c>
      <c r="I62" t="str">
        <f>_xlfn.XLOOKUP(ASET_data[[#This Row],[location_length]],RSET_lookup[location_length],RSET_lookup[RSET_helper])</f>
        <v>E22</v>
      </c>
      <c r="J62" t="str">
        <f t="shared" si="2"/>
        <v>Corridor_Fail_part_22</v>
      </c>
      <c r="K62" s="3">
        <v>86</v>
      </c>
      <c r="L62" s="3" t="s">
        <v>86</v>
      </c>
      <c r="M62">
        <f t="shared" si="15"/>
        <v>118</v>
      </c>
      <c r="N62" s="3">
        <v>39</v>
      </c>
      <c r="O62" s="3">
        <v>244</v>
      </c>
      <c r="P62">
        <f t="shared" si="16"/>
        <v>45</v>
      </c>
      <c r="R62" s="3">
        <v>118</v>
      </c>
      <c r="S62" s="3">
        <v>45</v>
      </c>
      <c r="U62">
        <f t="shared" si="3"/>
        <v>147.5</v>
      </c>
      <c r="V62">
        <f t="shared" si="4"/>
        <v>56.25</v>
      </c>
      <c r="X62">
        <f t="shared" si="5"/>
        <v>177</v>
      </c>
      <c r="Y62">
        <f t="shared" si="6"/>
        <v>67.5</v>
      </c>
      <c r="AA62">
        <f t="shared" si="7"/>
        <v>236</v>
      </c>
      <c r="AB62">
        <f t="shared" si="8"/>
        <v>90</v>
      </c>
      <c r="AD62">
        <f t="shared" si="9"/>
        <v>88.5</v>
      </c>
      <c r="AE62">
        <f t="shared" si="10"/>
        <v>33.75</v>
      </c>
      <c r="AG62">
        <f t="shared" si="11"/>
        <v>59</v>
      </c>
      <c r="AH62">
        <f t="shared" si="12"/>
        <v>22.5</v>
      </c>
    </row>
    <row r="63" spans="1:34" x14ac:dyDescent="0.25">
      <c r="A63">
        <v>62</v>
      </c>
      <c r="B63" t="s">
        <v>104</v>
      </c>
      <c r="C63" t="str">
        <f>ASET_data[[#This Row],[ASET_scenario]]&amp;ASET_data[[#This Row],[Corridor_length]]</f>
        <v>I26</v>
      </c>
      <c r="D63" t="str" cm="1">
        <f t="array" ref="D63">INDEX(fire_location_2[fire_location_2],
  MOD(INT((ROW()-ROW($D$2)) / (ROWS(sprinkler_2[sprinkler_2])*ROWS(door_2[door_2])*ROWS(corridor_2[corridor_2]))),
  ROWS(fire_location_2[fire_location_2])) + 1)</f>
        <v>Corridor</v>
      </c>
      <c r="E63" t="str" cm="1">
        <f t="array" ref="E63">INDEX(sprinkler_2[sprinkler_2],
  MOD(INT((ROW()-ROW($D$2)) / (ROWS(door_2[door_2])*ROWS(corridor_2[corridor_2]))),
  ROWS(sprinkler_2[sprinkler_2])) + 1)</f>
        <v>Fail</v>
      </c>
      <c r="F63" t="str" cm="1">
        <f t="array" ref="F63">INDEX(door_2[door_2],
  MOD(INT((ROW()-ROW($D$2)) / ROWS(corridor_2[corridor_2])),
  ROWS(door_2[door_2])) + 1)</f>
        <v>part</v>
      </c>
      <c r="G63" cm="1">
        <f t="array" ref="G63">INDEX(corridor_2[corridor_2],
  MOD(ROW()-ROW($D$2), ROWS(corridor_2[corridor_2])) + 1)</f>
        <v>26</v>
      </c>
      <c r="H63" t="str">
        <f>ASET_data[[#This Row],[Location]]&amp;ASET_data[[#This Row],[Corridor_length]]</f>
        <v>Corridor26</v>
      </c>
      <c r="I63" t="str">
        <f>_xlfn.XLOOKUP(ASET_data[[#This Row],[location_length]],RSET_lookup[location_length],RSET_lookup[RSET_helper])</f>
        <v>E26</v>
      </c>
      <c r="J63" t="str">
        <f t="shared" si="2"/>
        <v>Corridor_Fail_part_26</v>
      </c>
      <c r="K63">
        <v>89</v>
      </c>
      <c r="L63" t="s">
        <v>86</v>
      </c>
      <c r="M63">
        <f t="shared" si="15"/>
        <v>122</v>
      </c>
      <c r="N63">
        <v>38</v>
      </c>
      <c r="O63">
        <v>251</v>
      </c>
      <c r="P63">
        <f t="shared" si="16"/>
        <v>49</v>
      </c>
      <c r="R63">
        <v>122</v>
      </c>
      <c r="S63">
        <v>49</v>
      </c>
      <c r="U63">
        <f t="shared" si="3"/>
        <v>152.5</v>
      </c>
      <c r="V63">
        <f t="shared" si="4"/>
        <v>61.25</v>
      </c>
      <c r="X63">
        <f t="shared" si="5"/>
        <v>183</v>
      </c>
      <c r="Y63">
        <f t="shared" si="6"/>
        <v>73.5</v>
      </c>
      <c r="AA63">
        <f t="shared" si="7"/>
        <v>244</v>
      </c>
      <c r="AB63">
        <f t="shared" si="8"/>
        <v>98</v>
      </c>
      <c r="AD63">
        <f t="shared" si="9"/>
        <v>91.5</v>
      </c>
      <c r="AE63">
        <f t="shared" si="10"/>
        <v>36.75</v>
      </c>
      <c r="AG63">
        <f t="shared" si="11"/>
        <v>61</v>
      </c>
      <c r="AH63">
        <f t="shared" si="12"/>
        <v>24.5</v>
      </c>
    </row>
    <row r="64" spans="1:34" x14ac:dyDescent="0.25">
      <c r="A64">
        <v>63</v>
      </c>
      <c r="B64" t="s">
        <v>104</v>
      </c>
      <c r="C64" t="str">
        <f>ASET_data[[#This Row],[ASET_scenario]]&amp;ASET_data[[#This Row],[Corridor_length]]</f>
        <v>I30</v>
      </c>
      <c r="D64" t="str" cm="1">
        <f t="array" ref="D64">INDEX(fire_location_2[fire_location_2],
  MOD(INT((ROW()-ROW($D$2)) / (ROWS(sprinkler_2[sprinkler_2])*ROWS(door_2[door_2])*ROWS(corridor_2[corridor_2]))),
  ROWS(fire_location_2[fire_location_2])) + 1)</f>
        <v>Corridor</v>
      </c>
      <c r="E64" t="str" cm="1">
        <f t="array" ref="E64">INDEX(sprinkler_2[sprinkler_2],
  MOD(INT((ROW()-ROW($D$2)) / (ROWS(door_2[door_2])*ROWS(corridor_2[corridor_2]))),
  ROWS(sprinkler_2[sprinkler_2])) + 1)</f>
        <v>Fail</v>
      </c>
      <c r="F64" t="str" cm="1">
        <f t="array" ref="F64">INDEX(door_2[door_2],
  MOD(INT((ROW()-ROW($D$2)) / ROWS(corridor_2[corridor_2])),
  ROWS(door_2[door_2])) + 1)</f>
        <v>part</v>
      </c>
      <c r="G64" cm="1">
        <f t="array" ref="G64">INDEX(corridor_2[corridor_2],
  MOD(ROW()-ROW($D$2), ROWS(corridor_2[corridor_2])) + 1)</f>
        <v>30</v>
      </c>
      <c r="H64" t="str">
        <f>ASET_data[[#This Row],[Location]]&amp;ASET_data[[#This Row],[Corridor_length]]</f>
        <v>Corridor30</v>
      </c>
      <c r="I64" t="str">
        <f>_xlfn.XLOOKUP(ASET_data[[#This Row],[location_length]],RSET_lookup[location_length],RSET_lookup[RSET_helper])</f>
        <v>E30</v>
      </c>
      <c r="J64" t="str">
        <f t="shared" si="2"/>
        <v>Corridor_Fail_part_30</v>
      </c>
      <c r="K64" s="4">
        <v>94</v>
      </c>
      <c r="L64" s="4" t="s">
        <v>86</v>
      </c>
      <c r="M64">
        <f t="shared" si="15"/>
        <v>126</v>
      </c>
      <c r="N64" s="4">
        <v>38</v>
      </c>
      <c r="O64" s="4">
        <v>258</v>
      </c>
      <c r="P64">
        <f t="shared" si="16"/>
        <v>53</v>
      </c>
      <c r="R64" s="4">
        <v>126</v>
      </c>
      <c r="S64" s="4">
        <v>53</v>
      </c>
      <c r="U64">
        <f t="shared" si="3"/>
        <v>157.5</v>
      </c>
      <c r="V64">
        <f t="shared" si="4"/>
        <v>66.25</v>
      </c>
      <c r="X64">
        <f t="shared" si="5"/>
        <v>189</v>
      </c>
      <c r="Y64">
        <f t="shared" si="6"/>
        <v>79.5</v>
      </c>
      <c r="AA64">
        <f t="shared" si="7"/>
        <v>252</v>
      </c>
      <c r="AB64">
        <f t="shared" si="8"/>
        <v>106</v>
      </c>
      <c r="AD64">
        <f t="shared" si="9"/>
        <v>94.5</v>
      </c>
      <c r="AE64">
        <f t="shared" si="10"/>
        <v>39.75</v>
      </c>
      <c r="AG64">
        <f t="shared" si="11"/>
        <v>63</v>
      </c>
      <c r="AH64">
        <f t="shared" si="12"/>
        <v>26.5</v>
      </c>
    </row>
    <row r="65" spans="1:34" x14ac:dyDescent="0.25">
      <c r="A65">
        <v>64</v>
      </c>
      <c r="B65" t="s">
        <v>105</v>
      </c>
      <c r="C65" t="str">
        <f>ASET_data[[#This Row],[ASET_scenario]]&amp;ASET_data[[#This Row],[Corridor_length]]</f>
        <v>J6</v>
      </c>
      <c r="D65" t="str" cm="1">
        <f t="array" ref="D65">INDEX(fire_location_2[fire_location_2],
  MOD(INT((ROW()-ROW($D$2)) / (ROWS(sprinkler_2[sprinkler_2])*ROWS(door_2[door_2])*ROWS(corridor_2[corridor_2]))),
  ROWS(fire_location_2[fire_location_2])) + 1)</f>
        <v>Corridor</v>
      </c>
      <c r="E65" t="str" cm="1">
        <f t="array" ref="E65">INDEX(sprinkler_2[sprinkler_2],
  MOD(INT((ROW()-ROW($D$2)) / (ROWS(door_2[door_2])*ROWS(corridor_2[corridor_2]))),
  ROWS(sprinkler_2[sprinkler_2])) + 1)</f>
        <v>Control</v>
      </c>
      <c r="F65" t="str" cm="1">
        <f t="array" ref="F65">INDEX(door_2[door_2],
  MOD(INT((ROW()-ROW($D$2)) / ROWS(corridor_2[corridor_2])),
  ROWS(door_2[door_2])) + 1)</f>
        <v>open</v>
      </c>
      <c r="G65" cm="1">
        <f t="array" ref="G65">INDEX(corridor_2[corridor_2],
  MOD(ROW()-ROW($D$2), ROWS(corridor_2[corridor_2])) + 1)</f>
        <v>6</v>
      </c>
      <c r="H65" t="str">
        <f>ASET_data[[#This Row],[Location]]&amp;ASET_data[[#This Row],[Corridor_length]]</f>
        <v>Corridor6</v>
      </c>
      <c r="I65" t="str">
        <f>_xlfn.XLOOKUP(ASET_data[[#This Row],[location_length]],RSET_lookup[location_length],RSET_lookup[RSET_helper])</f>
        <v>E6</v>
      </c>
      <c r="J65" t="str">
        <f t="shared" si="2"/>
        <v>Corridor_Control_open_6</v>
      </c>
      <c r="K65">
        <v>60</v>
      </c>
      <c r="L65" t="s">
        <v>86</v>
      </c>
      <c r="M65">
        <f t="shared" si="15"/>
        <v>80</v>
      </c>
      <c r="N65">
        <v>39</v>
      </c>
      <c r="O65">
        <v>228</v>
      </c>
      <c r="P65">
        <f t="shared" si="16"/>
        <v>22</v>
      </c>
      <c r="R65">
        <v>80</v>
      </c>
      <c r="S65">
        <v>22</v>
      </c>
      <c r="U65">
        <f t="shared" si="3"/>
        <v>100</v>
      </c>
      <c r="V65">
        <f t="shared" si="4"/>
        <v>27.5</v>
      </c>
      <c r="X65">
        <f t="shared" si="5"/>
        <v>120</v>
      </c>
      <c r="Y65">
        <f t="shared" si="6"/>
        <v>33</v>
      </c>
      <c r="AA65">
        <f t="shared" si="7"/>
        <v>160</v>
      </c>
      <c r="AB65">
        <f t="shared" si="8"/>
        <v>44</v>
      </c>
      <c r="AD65">
        <f t="shared" si="9"/>
        <v>60</v>
      </c>
      <c r="AE65">
        <f t="shared" si="10"/>
        <v>16.5</v>
      </c>
      <c r="AG65">
        <f t="shared" si="11"/>
        <v>40</v>
      </c>
      <c r="AH65">
        <f t="shared" si="12"/>
        <v>11</v>
      </c>
    </row>
    <row r="66" spans="1:34" x14ac:dyDescent="0.25">
      <c r="A66">
        <v>65</v>
      </c>
      <c r="B66" t="s">
        <v>105</v>
      </c>
      <c r="C66" t="str">
        <f>ASET_data[[#This Row],[ASET_scenario]]&amp;ASET_data[[#This Row],[Corridor_length]]</f>
        <v>J10</v>
      </c>
      <c r="D66" t="str" cm="1">
        <f t="array" ref="D66">INDEX(fire_location_2[fire_location_2],
  MOD(INT((ROW()-ROW($D$2)) / (ROWS(sprinkler_2[sprinkler_2])*ROWS(door_2[door_2])*ROWS(corridor_2[corridor_2]))),
  ROWS(fire_location_2[fire_location_2])) + 1)</f>
        <v>Corridor</v>
      </c>
      <c r="E66" t="str" cm="1">
        <f t="array" ref="E66">INDEX(sprinkler_2[sprinkler_2],
  MOD(INT((ROW()-ROW($D$2)) / (ROWS(door_2[door_2])*ROWS(corridor_2[corridor_2]))),
  ROWS(sprinkler_2[sprinkler_2])) + 1)</f>
        <v>Control</v>
      </c>
      <c r="F66" t="str" cm="1">
        <f t="array" ref="F66">INDEX(door_2[door_2],
  MOD(INT((ROW()-ROW($D$2)) / ROWS(corridor_2[corridor_2])),
  ROWS(door_2[door_2])) + 1)</f>
        <v>open</v>
      </c>
      <c r="G66" cm="1">
        <f t="array" ref="G66">INDEX(corridor_2[corridor_2],
  MOD(ROW()-ROW($D$2), ROWS(corridor_2[corridor_2])) + 1)</f>
        <v>10</v>
      </c>
      <c r="H66" t="str">
        <f>ASET_data[[#This Row],[Location]]&amp;ASET_data[[#This Row],[Corridor_length]]</f>
        <v>Corridor10</v>
      </c>
      <c r="I66" t="str">
        <f>_xlfn.XLOOKUP(ASET_data[[#This Row],[location_length]],RSET_lookup[location_length],RSET_lookup[RSET_helper])</f>
        <v>E10</v>
      </c>
      <c r="J66" t="str">
        <f t="shared" si="2"/>
        <v>Corridor_Control_open_10</v>
      </c>
      <c r="K66">
        <v>69</v>
      </c>
      <c r="L66" t="s">
        <v>86</v>
      </c>
      <c r="M66">
        <f t="shared" ref="M66:M85" si="18">R66</f>
        <v>85</v>
      </c>
      <c r="N66">
        <v>41</v>
      </c>
      <c r="O66">
        <v>234</v>
      </c>
      <c r="P66">
        <f t="shared" ref="P66:P85" si="19">S66</f>
        <v>29</v>
      </c>
      <c r="R66">
        <v>85</v>
      </c>
      <c r="S66">
        <v>29</v>
      </c>
      <c r="U66">
        <f t="shared" si="3"/>
        <v>106.25</v>
      </c>
      <c r="V66">
        <f t="shared" si="4"/>
        <v>36.25</v>
      </c>
      <c r="X66">
        <f t="shared" si="5"/>
        <v>127.5</v>
      </c>
      <c r="Y66">
        <f t="shared" si="6"/>
        <v>43.5</v>
      </c>
      <c r="AA66">
        <f t="shared" si="7"/>
        <v>170</v>
      </c>
      <c r="AB66">
        <f t="shared" si="8"/>
        <v>58</v>
      </c>
      <c r="AD66">
        <f t="shared" si="9"/>
        <v>63.75</v>
      </c>
      <c r="AE66">
        <f t="shared" si="10"/>
        <v>21.75</v>
      </c>
      <c r="AG66">
        <f t="shared" si="11"/>
        <v>42.5</v>
      </c>
      <c r="AH66">
        <f t="shared" si="12"/>
        <v>14.5</v>
      </c>
    </row>
    <row r="67" spans="1:34" x14ac:dyDescent="0.25">
      <c r="A67">
        <v>66</v>
      </c>
      <c r="B67" t="s">
        <v>105</v>
      </c>
      <c r="C67" t="str">
        <f>ASET_data[[#This Row],[ASET_scenario]]&amp;ASET_data[[#This Row],[Corridor_length]]</f>
        <v>J14</v>
      </c>
      <c r="D67" t="str" cm="1">
        <f t="array" ref="D67">INDEX(fire_location_2[fire_location_2],
  MOD(INT((ROW()-ROW($D$2)) / (ROWS(sprinkler_2[sprinkler_2])*ROWS(door_2[door_2])*ROWS(corridor_2[corridor_2]))),
  ROWS(fire_location_2[fire_location_2])) + 1)</f>
        <v>Corridor</v>
      </c>
      <c r="E67" t="str" cm="1">
        <f t="array" ref="E67">INDEX(sprinkler_2[sprinkler_2],
  MOD(INT((ROW()-ROW($D$2)) / (ROWS(door_2[door_2])*ROWS(corridor_2[corridor_2]))),
  ROWS(sprinkler_2[sprinkler_2])) + 1)</f>
        <v>Control</v>
      </c>
      <c r="F67" t="str" cm="1">
        <f t="array" ref="F67">INDEX(door_2[door_2],
  MOD(INT((ROW()-ROW($D$2)) / ROWS(corridor_2[corridor_2])),
  ROWS(door_2[door_2])) + 1)</f>
        <v>open</v>
      </c>
      <c r="G67" cm="1">
        <f t="array" ref="G67">INDEX(corridor_2[corridor_2],
  MOD(ROW()-ROW($D$2), ROWS(corridor_2[corridor_2])) + 1)</f>
        <v>14</v>
      </c>
      <c r="H67" t="str">
        <f>ASET_data[[#This Row],[Location]]&amp;ASET_data[[#This Row],[Corridor_length]]</f>
        <v>Corridor14</v>
      </c>
      <c r="I67" t="str">
        <f>_xlfn.XLOOKUP(ASET_data[[#This Row],[location_length]],RSET_lookup[location_length],RSET_lookup[RSET_helper])</f>
        <v>E14</v>
      </c>
      <c r="J67" t="str">
        <f t="shared" ref="J67:J85" si="20">_xlfn.TEXTJOIN("_",TRUE,D67,E67,F67,G67)</f>
        <v>Corridor_Control_open_14</v>
      </c>
      <c r="K67">
        <v>76</v>
      </c>
      <c r="L67" t="s">
        <v>86</v>
      </c>
      <c r="M67">
        <f t="shared" si="18"/>
        <v>90</v>
      </c>
      <c r="N67">
        <v>39</v>
      </c>
      <c r="O67">
        <v>245</v>
      </c>
      <c r="P67">
        <f t="shared" si="19"/>
        <v>35</v>
      </c>
      <c r="R67">
        <v>90</v>
      </c>
      <c r="S67">
        <v>35</v>
      </c>
      <c r="U67">
        <f t="shared" ref="U67:U85" si="21">R67*$T$2</f>
        <v>112.5</v>
      </c>
      <c r="V67">
        <f t="shared" ref="V67:V85" si="22">S67*$T$2</f>
        <v>43.75</v>
      </c>
      <c r="X67">
        <f t="shared" ref="X67:X85" si="23">$W$2*R67</f>
        <v>135</v>
      </c>
      <c r="Y67">
        <f t="shared" ref="Y67:Y85" si="24">$W$2*S67</f>
        <v>52.5</v>
      </c>
      <c r="AA67">
        <f t="shared" ref="AA67:AA85" si="25">$Z$2*R67</f>
        <v>180</v>
      </c>
      <c r="AB67">
        <f t="shared" ref="AB67:AB85" si="26">$Z$2*S67</f>
        <v>70</v>
      </c>
      <c r="AD67">
        <f t="shared" ref="AD67:AD85" si="27">$AC$2*R67</f>
        <v>67.5</v>
      </c>
      <c r="AE67">
        <f t="shared" ref="AE67:AE85" si="28">$AC$2*S67</f>
        <v>26.25</v>
      </c>
      <c r="AG67">
        <f t="shared" ref="AG67:AG85" si="29">$AF$2*R67</f>
        <v>45</v>
      </c>
      <c r="AH67">
        <f t="shared" ref="AH67:AH85" si="30">$AF$2*S67</f>
        <v>17.5</v>
      </c>
    </row>
    <row r="68" spans="1:34" x14ac:dyDescent="0.25">
      <c r="A68">
        <v>67</v>
      </c>
      <c r="B68" t="s">
        <v>105</v>
      </c>
      <c r="C68" t="str">
        <f>ASET_data[[#This Row],[ASET_scenario]]&amp;ASET_data[[#This Row],[Corridor_length]]</f>
        <v>J18</v>
      </c>
      <c r="D68" t="str" cm="1">
        <f t="array" ref="D68">INDEX(fire_location_2[fire_location_2],
  MOD(INT((ROW()-ROW($D$2)) / (ROWS(sprinkler_2[sprinkler_2])*ROWS(door_2[door_2])*ROWS(corridor_2[corridor_2]))),
  ROWS(fire_location_2[fire_location_2])) + 1)</f>
        <v>Corridor</v>
      </c>
      <c r="E68" t="str" cm="1">
        <f t="array" ref="E68">INDEX(sprinkler_2[sprinkler_2],
  MOD(INT((ROW()-ROW($D$2)) / (ROWS(door_2[door_2])*ROWS(corridor_2[corridor_2]))),
  ROWS(sprinkler_2[sprinkler_2])) + 1)</f>
        <v>Control</v>
      </c>
      <c r="F68" t="str" cm="1">
        <f t="array" ref="F68">INDEX(door_2[door_2],
  MOD(INT((ROW()-ROW($D$2)) / ROWS(corridor_2[corridor_2])),
  ROWS(door_2[door_2])) + 1)</f>
        <v>open</v>
      </c>
      <c r="G68" cm="1">
        <f t="array" ref="G68">INDEX(corridor_2[corridor_2],
  MOD(ROW()-ROW($D$2), ROWS(corridor_2[corridor_2])) + 1)</f>
        <v>18</v>
      </c>
      <c r="H68" t="str">
        <f>ASET_data[[#This Row],[Location]]&amp;ASET_data[[#This Row],[Corridor_length]]</f>
        <v>Corridor18</v>
      </c>
      <c r="I68" t="str">
        <f>_xlfn.XLOOKUP(ASET_data[[#This Row],[location_length]],RSET_lookup[location_length],RSET_lookup[RSET_helper])</f>
        <v>E18</v>
      </c>
      <c r="J68" t="str">
        <f t="shared" si="20"/>
        <v>Corridor_Control_open_18</v>
      </c>
      <c r="K68">
        <v>83</v>
      </c>
      <c r="L68" t="s">
        <v>86</v>
      </c>
      <c r="M68">
        <f t="shared" si="18"/>
        <v>95</v>
      </c>
      <c r="N68">
        <v>39</v>
      </c>
      <c r="O68">
        <v>254</v>
      </c>
      <c r="P68">
        <f t="shared" si="19"/>
        <v>40</v>
      </c>
      <c r="R68">
        <v>95</v>
      </c>
      <c r="S68">
        <v>40</v>
      </c>
      <c r="U68">
        <f t="shared" si="21"/>
        <v>118.75</v>
      </c>
      <c r="V68">
        <f t="shared" si="22"/>
        <v>50</v>
      </c>
      <c r="X68">
        <f t="shared" si="23"/>
        <v>142.5</v>
      </c>
      <c r="Y68">
        <f t="shared" si="24"/>
        <v>60</v>
      </c>
      <c r="AA68">
        <f t="shared" si="25"/>
        <v>190</v>
      </c>
      <c r="AB68">
        <f t="shared" si="26"/>
        <v>80</v>
      </c>
      <c r="AD68">
        <f t="shared" si="27"/>
        <v>71.25</v>
      </c>
      <c r="AE68">
        <f t="shared" si="28"/>
        <v>30</v>
      </c>
      <c r="AG68">
        <f t="shared" si="29"/>
        <v>47.5</v>
      </c>
      <c r="AH68">
        <f t="shared" si="30"/>
        <v>20</v>
      </c>
    </row>
    <row r="69" spans="1:34" x14ac:dyDescent="0.25">
      <c r="A69">
        <v>68</v>
      </c>
      <c r="B69" t="s">
        <v>105</v>
      </c>
      <c r="C69" t="str">
        <f>ASET_data[[#This Row],[ASET_scenario]]&amp;ASET_data[[#This Row],[Corridor_length]]</f>
        <v>J22</v>
      </c>
      <c r="D69" t="str" cm="1">
        <f t="array" ref="D69">INDEX(fire_location_2[fire_location_2],
  MOD(INT((ROW()-ROW($D$2)) / (ROWS(sprinkler_2[sprinkler_2])*ROWS(door_2[door_2])*ROWS(corridor_2[corridor_2]))),
  ROWS(fire_location_2[fire_location_2])) + 1)</f>
        <v>Corridor</v>
      </c>
      <c r="E69" t="str" cm="1">
        <f t="array" ref="E69">INDEX(sprinkler_2[sprinkler_2],
  MOD(INT((ROW()-ROW($D$2)) / (ROWS(door_2[door_2])*ROWS(corridor_2[corridor_2]))),
  ROWS(sprinkler_2[sprinkler_2])) + 1)</f>
        <v>Control</v>
      </c>
      <c r="F69" t="str" cm="1">
        <f t="array" ref="F69">INDEX(door_2[door_2],
  MOD(INT((ROW()-ROW($D$2)) / ROWS(corridor_2[corridor_2])),
  ROWS(door_2[door_2])) + 1)</f>
        <v>open</v>
      </c>
      <c r="G69" cm="1">
        <f t="array" ref="G69">INDEX(corridor_2[corridor_2],
  MOD(ROW()-ROW($D$2), ROWS(corridor_2[corridor_2])) + 1)</f>
        <v>22</v>
      </c>
      <c r="H69" t="str">
        <f>ASET_data[[#This Row],[Location]]&amp;ASET_data[[#This Row],[Corridor_length]]</f>
        <v>Corridor22</v>
      </c>
      <c r="I69" t="str">
        <f>_xlfn.XLOOKUP(ASET_data[[#This Row],[location_length]],RSET_lookup[location_length],RSET_lookup[RSET_helper])</f>
        <v>E22</v>
      </c>
      <c r="J69" t="str">
        <f t="shared" si="20"/>
        <v>Corridor_Control_open_22</v>
      </c>
      <c r="K69">
        <v>90</v>
      </c>
      <c r="L69" t="s">
        <v>86</v>
      </c>
      <c r="M69">
        <f t="shared" si="18"/>
        <v>100</v>
      </c>
      <c r="N69">
        <v>39</v>
      </c>
      <c r="O69">
        <v>262</v>
      </c>
      <c r="P69">
        <f t="shared" si="19"/>
        <v>45</v>
      </c>
      <c r="R69">
        <v>100</v>
      </c>
      <c r="S69">
        <v>45</v>
      </c>
      <c r="U69">
        <f t="shared" si="21"/>
        <v>125</v>
      </c>
      <c r="V69">
        <f t="shared" si="22"/>
        <v>56.25</v>
      </c>
      <c r="X69">
        <f t="shared" si="23"/>
        <v>150</v>
      </c>
      <c r="Y69">
        <f t="shared" si="24"/>
        <v>67.5</v>
      </c>
      <c r="AA69">
        <f t="shared" si="25"/>
        <v>200</v>
      </c>
      <c r="AB69">
        <f t="shared" si="26"/>
        <v>90</v>
      </c>
      <c r="AD69">
        <f t="shared" si="27"/>
        <v>75</v>
      </c>
      <c r="AE69">
        <f t="shared" si="28"/>
        <v>33.75</v>
      </c>
      <c r="AG69">
        <f t="shared" si="29"/>
        <v>50</v>
      </c>
      <c r="AH69">
        <f t="shared" si="30"/>
        <v>22.5</v>
      </c>
    </row>
    <row r="70" spans="1:34" x14ac:dyDescent="0.25">
      <c r="A70">
        <v>69</v>
      </c>
      <c r="B70" t="s">
        <v>105</v>
      </c>
      <c r="C70" t="str">
        <f>ASET_data[[#This Row],[ASET_scenario]]&amp;ASET_data[[#This Row],[Corridor_length]]</f>
        <v>J26</v>
      </c>
      <c r="D70" t="str" cm="1">
        <f t="array" ref="D70">INDEX(fire_location_2[fire_location_2],
  MOD(INT((ROW()-ROW($D$2)) / (ROWS(sprinkler_2[sprinkler_2])*ROWS(door_2[door_2])*ROWS(corridor_2[corridor_2]))),
  ROWS(fire_location_2[fire_location_2])) + 1)</f>
        <v>Corridor</v>
      </c>
      <c r="E70" t="str" cm="1">
        <f t="array" ref="E70">INDEX(sprinkler_2[sprinkler_2],
  MOD(INT((ROW()-ROW($D$2)) / (ROWS(door_2[door_2])*ROWS(corridor_2[corridor_2]))),
  ROWS(sprinkler_2[sprinkler_2])) + 1)</f>
        <v>Control</v>
      </c>
      <c r="F70" t="str" cm="1">
        <f t="array" ref="F70">INDEX(door_2[door_2],
  MOD(INT((ROW()-ROW($D$2)) / ROWS(corridor_2[corridor_2])),
  ROWS(door_2[door_2])) + 1)</f>
        <v>open</v>
      </c>
      <c r="G70" cm="1">
        <f t="array" ref="G70">INDEX(corridor_2[corridor_2],
  MOD(ROW()-ROW($D$2), ROWS(corridor_2[corridor_2])) + 1)</f>
        <v>26</v>
      </c>
      <c r="H70" t="str">
        <f>ASET_data[[#This Row],[Location]]&amp;ASET_data[[#This Row],[Corridor_length]]</f>
        <v>Corridor26</v>
      </c>
      <c r="I70" t="str">
        <f>_xlfn.XLOOKUP(ASET_data[[#This Row],[location_length]],RSET_lookup[location_length],RSET_lookup[RSET_helper])</f>
        <v>E26</v>
      </c>
      <c r="J70" t="str">
        <f t="shared" si="20"/>
        <v>Corridor_Control_open_26</v>
      </c>
      <c r="K70">
        <v>95</v>
      </c>
      <c r="L70" t="s">
        <v>86</v>
      </c>
      <c r="M70">
        <f t="shared" si="18"/>
        <v>104</v>
      </c>
      <c r="N70">
        <v>38</v>
      </c>
      <c r="O70">
        <v>269</v>
      </c>
      <c r="P70">
        <f t="shared" si="19"/>
        <v>49</v>
      </c>
      <c r="R70">
        <v>104</v>
      </c>
      <c r="S70">
        <v>49</v>
      </c>
      <c r="U70">
        <f t="shared" si="21"/>
        <v>130</v>
      </c>
      <c r="V70">
        <f t="shared" si="22"/>
        <v>61.25</v>
      </c>
      <c r="X70">
        <f t="shared" si="23"/>
        <v>156</v>
      </c>
      <c r="Y70">
        <f t="shared" si="24"/>
        <v>73.5</v>
      </c>
      <c r="AA70">
        <f t="shared" si="25"/>
        <v>208</v>
      </c>
      <c r="AB70">
        <f t="shared" si="26"/>
        <v>98</v>
      </c>
      <c r="AD70">
        <f t="shared" si="27"/>
        <v>78</v>
      </c>
      <c r="AE70">
        <f t="shared" si="28"/>
        <v>36.75</v>
      </c>
      <c r="AG70">
        <f t="shared" si="29"/>
        <v>52</v>
      </c>
      <c r="AH70">
        <f t="shared" si="30"/>
        <v>24.5</v>
      </c>
    </row>
    <row r="71" spans="1:34" x14ac:dyDescent="0.25">
      <c r="A71">
        <v>70</v>
      </c>
      <c r="B71" t="s">
        <v>105</v>
      </c>
      <c r="C71" t="str">
        <f>ASET_data[[#This Row],[ASET_scenario]]&amp;ASET_data[[#This Row],[Corridor_length]]</f>
        <v>J30</v>
      </c>
      <c r="D71" t="str" cm="1">
        <f t="array" ref="D71">INDEX(fire_location_2[fire_location_2],
  MOD(INT((ROW()-ROW($D$2)) / (ROWS(sprinkler_2[sprinkler_2])*ROWS(door_2[door_2])*ROWS(corridor_2[corridor_2]))),
  ROWS(fire_location_2[fire_location_2])) + 1)</f>
        <v>Corridor</v>
      </c>
      <c r="E71" t="str" cm="1">
        <f t="array" ref="E71">INDEX(sprinkler_2[sprinkler_2],
  MOD(INT((ROW()-ROW($D$2)) / (ROWS(door_2[door_2])*ROWS(corridor_2[corridor_2]))),
  ROWS(sprinkler_2[sprinkler_2])) + 1)</f>
        <v>Control</v>
      </c>
      <c r="F71" t="str" cm="1">
        <f t="array" ref="F71">INDEX(door_2[door_2],
  MOD(INT((ROW()-ROW($D$2)) / ROWS(corridor_2[corridor_2])),
  ROWS(door_2[door_2])) + 1)</f>
        <v>open</v>
      </c>
      <c r="G71" cm="1">
        <f t="array" ref="G71">INDEX(corridor_2[corridor_2],
  MOD(ROW()-ROW($D$2), ROWS(corridor_2[corridor_2])) + 1)</f>
        <v>30</v>
      </c>
      <c r="H71" t="str">
        <f>ASET_data[[#This Row],[Location]]&amp;ASET_data[[#This Row],[Corridor_length]]</f>
        <v>Corridor30</v>
      </c>
      <c r="I71" t="str">
        <f>_xlfn.XLOOKUP(ASET_data[[#This Row],[location_length]],RSET_lookup[location_length],RSET_lookup[RSET_helper])</f>
        <v>E30</v>
      </c>
      <c r="J71" t="str">
        <f t="shared" si="20"/>
        <v>Corridor_Control_open_30</v>
      </c>
      <c r="K71">
        <v>102</v>
      </c>
      <c r="L71" t="s">
        <v>86</v>
      </c>
      <c r="M71">
        <f t="shared" si="18"/>
        <v>108</v>
      </c>
      <c r="N71">
        <v>38</v>
      </c>
      <c r="O71">
        <v>276</v>
      </c>
      <c r="P71">
        <f t="shared" si="19"/>
        <v>53</v>
      </c>
      <c r="R71">
        <v>108</v>
      </c>
      <c r="S71">
        <v>53</v>
      </c>
      <c r="U71">
        <f t="shared" si="21"/>
        <v>135</v>
      </c>
      <c r="V71">
        <f t="shared" si="22"/>
        <v>66.25</v>
      </c>
      <c r="X71">
        <f t="shared" si="23"/>
        <v>162</v>
      </c>
      <c r="Y71">
        <f t="shared" si="24"/>
        <v>79.5</v>
      </c>
      <c r="AA71">
        <f t="shared" si="25"/>
        <v>216</v>
      </c>
      <c r="AB71">
        <f t="shared" si="26"/>
        <v>106</v>
      </c>
      <c r="AD71">
        <f t="shared" si="27"/>
        <v>81</v>
      </c>
      <c r="AE71">
        <f t="shared" si="28"/>
        <v>39.75</v>
      </c>
      <c r="AG71">
        <f t="shared" si="29"/>
        <v>54</v>
      </c>
      <c r="AH71">
        <f t="shared" si="30"/>
        <v>26.5</v>
      </c>
    </row>
    <row r="72" spans="1:34" x14ac:dyDescent="0.25">
      <c r="A72">
        <v>71</v>
      </c>
      <c r="B72" t="s">
        <v>106</v>
      </c>
      <c r="C72" t="str">
        <f>ASET_data[[#This Row],[ASET_scenario]]&amp;ASET_data[[#This Row],[Corridor_length]]</f>
        <v>K6</v>
      </c>
      <c r="D72" t="str" cm="1">
        <f t="array" ref="D72">INDEX(fire_location_2[fire_location_2],
  MOD(INT((ROW()-ROW($D$2)) / (ROWS(sprinkler_2[sprinkler_2])*ROWS(door_2[door_2])*ROWS(corridor_2[corridor_2]))),
  ROWS(fire_location_2[fire_location_2])) + 1)</f>
        <v>Corridor</v>
      </c>
      <c r="E72" t="str" cm="1">
        <f t="array" ref="E72">INDEX(sprinkler_2[sprinkler_2],
  MOD(INT((ROW()-ROW($D$2)) / (ROWS(door_2[door_2])*ROWS(corridor_2[corridor_2]))),
  ROWS(sprinkler_2[sprinkler_2])) + 1)</f>
        <v>Control</v>
      </c>
      <c r="F72" t="str" cm="1">
        <f t="array" ref="F72">INDEX(door_2[door_2],
  MOD(INT((ROW()-ROW($D$2)) / ROWS(corridor_2[corridor_2])),
  ROWS(door_2[door_2])) + 1)</f>
        <v>close</v>
      </c>
      <c r="G72" cm="1">
        <f t="array" ref="G72">INDEX(corridor_2[corridor_2],
  MOD(ROW()-ROW($D$2), ROWS(corridor_2[corridor_2])) + 1)</f>
        <v>6</v>
      </c>
      <c r="H72" t="str">
        <f>ASET_data[[#This Row],[Location]]&amp;ASET_data[[#This Row],[Corridor_length]]</f>
        <v>Corridor6</v>
      </c>
      <c r="I72" t="str">
        <f>_xlfn.XLOOKUP(ASET_data[[#This Row],[location_length]],RSET_lookup[location_length],RSET_lookup[RSET_helper])</f>
        <v>E6</v>
      </c>
      <c r="J72" t="str">
        <f t="shared" si="20"/>
        <v>Corridor_Control_close_6</v>
      </c>
      <c r="K72">
        <f>ASET_data[[#This Row],[cor_SD]]+300</f>
        <v>339</v>
      </c>
      <c r="L72" t="s">
        <v>86</v>
      </c>
      <c r="M72">
        <f t="shared" si="18"/>
        <v>3600</v>
      </c>
      <c r="N72">
        <v>39</v>
      </c>
      <c r="O72">
        <v>204</v>
      </c>
      <c r="P72">
        <f t="shared" si="19"/>
        <v>22</v>
      </c>
      <c r="R72">
        <f t="shared" ref="R72:R78" si="31">60*60</f>
        <v>3600</v>
      </c>
      <c r="S72">
        <v>22</v>
      </c>
      <c r="U72">
        <f t="shared" si="21"/>
        <v>4500</v>
      </c>
      <c r="V72">
        <f t="shared" si="22"/>
        <v>27.5</v>
      </c>
      <c r="X72">
        <f t="shared" si="23"/>
        <v>5400</v>
      </c>
      <c r="Y72">
        <f t="shared" si="24"/>
        <v>33</v>
      </c>
      <c r="AA72">
        <f t="shared" si="25"/>
        <v>7200</v>
      </c>
      <c r="AB72">
        <f t="shared" si="26"/>
        <v>44</v>
      </c>
      <c r="AD72">
        <f t="shared" si="27"/>
        <v>2700</v>
      </c>
      <c r="AE72">
        <f t="shared" si="28"/>
        <v>16.5</v>
      </c>
      <c r="AG72">
        <f t="shared" si="29"/>
        <v>1800</v>
      </c>
      <c r="AH72">
        <f t="shared" si="30"/>
        <v>11</v>
      </c>
    </row>
    <row r="73" spans="1:34" x14ac:dyDescent="0.25">
      <c r="A73">
        <v>72</v>
      </c>
      <c r="B73" t="s">
        <v>106</v>
      </c>
      <c r="C73" t="str">
        <f>ASET_data[[#This Row],[ASET_scenario]]&amp;ASET_data[[#This Row],[Corridor_length]]</f>
        <v>K10</v>
      </c>
      <c r="D73" t="str" cm="1">
        <f t="array" ref="D73">INDEX(fire_location_2[fire_location_2],
  MOD(INT((ROW()-ROW($D$2)) / (ROWS(sprinkler_2[sprinkler_2])*ROWS(door_2[door_2])*ROWS(corridor_2[corridor_2]))),
  ROWS(fire_location_2[fire_location_2])) + 1)</f>
        <v>Corridor</v>
      </c>
      <c r="E73" t="str" cm="1">
        <f t="array" ref="E73">INDEX(sprinkler_2[sprinkler_2],
  MOD(INT((ROW()-ROW($D$2)) / (ROWS(door_2[door_2])*ROWS(corridor_2[corridor_2]))),
  ROWS(sprinkler_2[sprinkler_2])) + 1)</f>
        <v>Control</v>
      </c>
      <c r="F73" t="str" cm="1">
        <f t="array" ref="F73">INDEX(door_2[door_2],
  MOD(INT((ROW()-ROW($D$2)) / ROWS(corridor_2[corridor_2])),
  ROWS(door_2[door_2])) + 1)</f>
        <v>close</v>
      </c>
      <c r="G73" cm="1">
        <f t="array" ref="G73">INDEX(corridor_2[corridor_2],
  MOD(ROW()-ROW($D$2), ROWS(corridor_2[corridor_2])) + 1)</f>
        <v>10</v>
      </c>
      <c r="H73" t="str">
        <f>ASET_data[[#This Row],[Location]]&amp;ASET_data[[#This Row],[Corridor_length]]</f>
        <v>Corridor10</v>
      </c>
      <c r="I73" t="str">
        <f>_xlfn.XLOOKUP(ASET_data[[#This Row],[location_length]],RSET_lookup[location_length],RSET_lookup[RSET_helper])</f>
        <v>E10</v>
      </c>
      <c r="J73" t="str">
        <f t="shared" si="20"/>
        <v>Corridor_Control_close_10</v>
      </c>
      <c r="K73">
        <f>ASET_data[[#This Row],[cor_SD]]+300</f>
        <v>341</v>
      </c>
      <c r="L73" t="s">
        <v>86</v>
      </c>
      <c r="M73">
        <f t="shared" si="18"/>
        <v>3600</v>
      </c>
      <c r="N73">
        <v>41</v>
      </c>
      <c r="O73">
        <v>213</v>
      </c>
      <c r="P73">
        <f t="shared" si="19"/>
        <v>29</v>
      </c>
      <c r="R73">
        <f t="shared" si="31"/>
        <v>3600</v>
      </c>
      <c r="S73">
        <v>29</v>
      </c>
      <c r="U73">
        <f t="shared" si="21"/>
        <v>4500</v>
      </c>
      <c r="V73">
        <f t="shared" si="22"/>
        <v>36.25</v>
      </c>
      <c r="X73">
        <f t="shared" si="23"/>
        <v>5400</v>
      </c>
      <c r="Y73">
        <f t="shared" si="24"/>
        <v>43.5</v>
      </c>
      <c r="AA73">
        <f t="shared" si="25"/>
        <v>7200</v>
      </c>
      <c r="AB73">
        <f t="shared" si="26"/>
        <v>58</v>
      </c>
      <c r="AD73">
        <f t="shared" si="27"/>
        <v>2700</v>
      </c>
      <c r="AE73">
        <f t="shared" si="28"/>
        <v>21.75</v>
      </c>
      <c r="AG73">
        <f t="shared" si="29"/>
        <v>1800</v>
      </c>
      <c r="AH73">
        <f t="shared" si="30"/>
        <v>14.5</v>
      </c>
    </row>
    <row r="74" spans="1:34" x14ac:dyDescent="0.25">
      <c r="A74">
        <v>73</v>
      </c>
      <c r="B74" t="s">
        <v>106</v>
      </c>
      <c r="C74" t="str">
        <f>ASET_data[[#This Row],[ASET_scenario]]&amp;ASET_data[[#This Row],[Corridor_length]]</f>
        <v>K14</v>
      </c>
      <c r="D74" t="str" cm="1">
        <f t="array" ref="D74">INDEX(fire_location_2[fire_location_2],
  MOD(INT((ROW()-ROW($D$2)) / (ROWS(sprinkler_2[sprinkler_2])*ROWS(door_2[door_2])*ROWS(corridor_2[corridor_2]))),
  ROWS(fire_location_2[fire_location_2])) + 1)</f>
        <v>Corridor</v>
      </c>
      <c r="E74" t="str" cm="1">
        <f t="array" ref="E74">INDEX(sprinkler_2[sprinkler_2],
  MOD(INT((ROW()-ROW($D$2)) / (ROWS(door_2[door_2])*ROWS(corridor_2[corridor_2]))),
  ROWS(sprinkler_2[sprinkler_2])) + 1)</f>
        <v>Control</v>
      </c>
      <c r="F74" t="str" cm="1">
        <f t="array" ref="F74">INDEX(door_2[door_2],
  MOD(INT((ROW()-ROW($D$2)) / ROWS(corridor_2[corridor_2])),
  ROWS(door_2[door_2])) + 1)</f>
        <v>close</v>
      </c>
      <c r="G74" cm="1">
        <f t="array" ref="G74">INDEX(corridor_2[corridor_2],
  MOD(ROW()-ROW($D$2), ROWS(corridor_2[corridor_2])) + 1)</f>
        <v>14</v>
      </c>
      <c r="H74" t="str">
        <f>ASET_data[[#This Row],[Location]]&amp;ASET_data[[#This Row],[Corridor_length]]</f>
        <v>Corridor14</v>
      </c>
      <c r="I74" t="str">
        <f>_xlfn.XLOOKUP(ASET_data[[#This Row],[location_length]],RSET_lookup[location_length],RSET_lookup[RSET_helper])</f>
        <v>E14</v>
      </c>
      <c r="J74" t="str">
        <f t="shared" si="20"/>
        <v>Corridor_Control_close_14</v>
      </c>
      <c r="K74">
        <f>ASET_data[[#This Row],[cor_SD]]+300</f>
        <v>339</v>
      </c>
      <c r="L74" t="s">
        <v>86</v>
      </c>
      <c r="M74">
        <f t="shared" si="18"/>
        <v>3600</v>
      </c>
      <c r="N74">
        <v>39</v>
      </c>
      <c r="O74">
        <v>223</v>
      </c>
      <c r="P74">
        <f t="shared" si="19"/>
        <v>35</v>
      </c>
      <c r="R74">
        <f t="shared" si="31"/>
        <v>3600</v>
      </c>
      <c r="S74">
        <v>35</v>
      </c>
      <c r="U74">
        <f t="shared" si="21"/>
        <v>4500</v>
      </c>
      <c r="V74">
        <f t="shared" si="22"/>
        <v>43.75</v>
      </c>
      <c r="X74">
        <f t="shared" si="23"/>
        <v>5400</v>
      </c>
      <c r="Y74">
        <f t="shared" si="24"/>
        <v>52.5</v>
      </c>
      <c r="AA74">
        <f t="shared" si="25"/>
        <v>7200</v>
      </c>
      <c r="AB74">
        <f t="shared" si="26"/>
        <v>70</v>
      </c>
      <c r="AD74">
        <f t="shared" si="27"/>
        <v>2700</v>
      </c>
      <c r="AE74">
        <f t="shared" si="28"/>
        <v>26.25</v>
      </c>
      <c r="AG74">
        <f t="shared" si="29"/>
        <v>1800</v>
      </c>
      <c r="AH74">
        <f t="shared" si="30"/>
        <v>17.5</v>
      </c>
    </row>
    <row r="75" spans="1:34" x14ac:dyDescent="0.25">
      <c r="A75">
        <v>74</v>
      </c>
      <c r="B75" t="s">
        <v>106</v>
      </c>
      <c r="C75" t="str">
        <f>ASET_data[[#This Row],[ASET_scenario]]&amp;ASET_data[[#This Row],[Corridor_length]]</f>
        <v>K18</v>
      </c>
      <c r="D75" t="str" cm="1">
        <f t="array" ref="D75">INDEX(fire_location_2[fire_location_2],
  MOD(INT((ROW()-ROW($D$2)) / (ROWS(sprinkler_2[sprinkler_2])*ROWS(door_2[door_2])*ROWS(corridor_2[corridor_2]))),
  ROWS(fire_location_2[fire_location_2])) + 1)</f>
        <v>Corridor</v>
      </c>
      <c r="E75" t="str" cm="1">
        <f t="array" ref="E75">INDEX(sprinkler_2[sprinkler_2],
  MOD(INT((ROW()-ROW($D$2)) / (ROWS(door_2[door_2])*ROWS(corridor_2[corridor_2]))),
  ROWS(sprinkler_2[sprinkler_2])) + 1)</f>
        <v>Control</v>
      </c>
      <c r="F75" t="str" cm="1">
        <f t="array" ref="F75">INDEX(door_2[door_2],
  MOD(INT((ROW()-ROW($D$2)) / ROWS(corridor_2[corridor_2])),
  ROWS(door_2[door_2])) + 1)</f>
        <v>close</v>
      </c>
      <c r="G75" cm="1">
        <f t="array" ref="G75">INDEX(corridor_2[corridor_2],
  MOD(ROW()-ROW($D$2), ROWS(corridor_2[corridor_2])) + 1)</f>
        <v>18</v>
      </c>
      <c r="H75" t="str">
        <f>ASET_data[[#This Row],[Location]]&amp;ASET_data[[#This Row],[Corridor_length]]</f>
        <v>Corridor18</v>
      </c>
      <c r="I75" t="str">
        <f>_xlfn.XLOOKUP(ASET_data[[#This Row],[location_length]],RSET_lookup[location_length],RSET_lookup[RSET_helper])</f>
        <v>E18</v>
      </c>
      <c r="J75" t="str">
        <f t="shared" si="20"/>
        <v>Corridor_Control_close_18</v>
      </c>
      <c r="K75">
        <f>ASET_data[[#This Row],[cor_SD]]+300</f>
        <v>339</v>
      </c>
      <c r="L75" t="s">
        <v>86</v>
      </c>
      <c r="M75">
        <f t="shared" si="18"/>
        <v>3600</v>
      </c>
      <c r="N75">
        <v>39</v>
      </c>
      <c r="O75">
        <v>232</v>
      </c>
      <c r="P75">
        <f t="shared" si="19"/>
        <v>40</v>
      </c>
      <c r="R75">
        <f t="shared" si="31"/>
        <v>3600</v>
      </c>
      <c r="S75">
        <v>40</v>
      </c>
      <c r="U75">
        <f t="shared" si="21"/>
        <v>4500</v>
      </c>
      <c r="V75">
        <f t="shared" si="22"/>
        <v>50</v>
      </c>
      <c r="X75">
        <f t="shared" si="23"/>
        <v>5400</v>
      </c>
      <c r="Y75">
        <f t="shared" si="24"/>
        <v>60</v>
      </c>
      <c r="AA75">
        <f t="shared" si="25"/>
        <v>7200</v>
      </c>
      <c r="AB75">
        <f t="shared" si="26"/>
        <v>80</v>
      </c>
      <c r="AD75">
        <f t="shared" si="27"/>
        <v>2700</v>
      </c>
      <c r="AE75">
        <f t="shared" si="28"/>
        <v>30</v>
      </c>
      <c r="AG75">
        <f t="shared" si="29"/>
        <v>1800</v>
      </c>
      <c r="AH75">
        <f t="shared" si="30"/>
        <v>20</v>
      </c>
    </row>
    <row r="76" spans="1:34" x14ac:dyDescent="0.25">
      <c r="A76">
        <v>75</v>
      </c>
      <c r="B76" t="s">
        <v>106</v>
      </c>
      <c r="C76" t="str">
        <f>ASET_data[[#This Row],[ASET_scenario]]&amp;ASET_data[[#This Row],[Corridor_length]]</f>
        <v>K22</v>
      </c>
      <c r="D76" t="str" cm="1">
        <f t="array" ref="D76">INDEX(fire_location_2[fire_location_2],
  MOD(INT((ROW()-ROW($D$2)) / (ROWS(sprinkler_2[sprinkler_2])*ROWS(door_2[door_2])*ROWS(corridor_2[corridor_2]))),
  ROWS(fire_location_2[fire_location_2])) + 1)</f>
        <v>Corridor</v>
      </c>
      <c r="E76" t="str" cm="1">
        <f t="array" ref="E76">INDEX(sprinkler_2[sprinkler_2],
  MOD(INT((ROW()-ROW($D$2)) / (ROWS(door_2[door_2])*ROWS(corridor_2[corridor_2]))),
  ROWS(sprinkler_2[sprinkler_2])) + 1)</f>
        <v>Control</v>
      </c>
      <c r="F76" t="str" cm="1">
        <f t="array" ref="F76">INDEX(door_2[door_2],
  MOD(INT((ROW()-ROW($D$2)) / ROWS(corridor_2[corridor_2])),
  ROWS(door_2[door_2])) + 1)</f>
        <v>close</v>
      </c>
      <c r="G76" cm="1">
        <f t="array" ref="G76">INDEX(corridor_2[corridor_2],
  MOD(ROW()-ROW($D$2), ROWS(corridor_2[corridor_2])) + 1)</f>
        <v>22</v>
      </c>
      <c r="H76" t="str">
        <f>ASET_data[[#This Row],[Location]]&amp;ASET_data[[#This Row],[Corridor_length]]</f>
        <v>Corridor22</v>
      </c>
      <c r="I76" t="str">
        <f>_xlfn.XLOOKUP(ASET_data[[#This Row],[location_length]],RSET_lookup[location_length],RSET_lookup[RSET_helper])</f>
        <v>E22</v>
      </c>
      <c r="J76" t="str">
        <f t="shared" si="20"/>
        <v>Corridor_Control_close_22</v>
      </c>
      <c r="K76">
        <f>ASET_data[[#This Row],[cor_SD]]+300</f>
        <v>339</v>
      </c>
      <c r="L76" t="s">
        <v>86</v>
      </c>
      <c r="M76">
        <f t="shared" si="18"/>
        <v>3600</v>
      </c>
      <c r="N76">
        <v>39</v>
      </c>
      <c r="O76">
        <v>239</v>
      </c>
      <c r="P76">
        <f t="shared" si="19"/>
        <v>45</v>
      </c>
      <c r="R76">
        <f t="shared" si="31"/>
        <v>3600</v>
      </c>
      <c r="S76">
        <v>45</v>
      </c>
      <c r="U76">
        <f t="shared" si="21"/>
        <v>4500</v>
      </c>
      <c r="V76">
        <f t="shared" si="22"/>
        <v>56.25</v>
      </c>
      <c r="X76">
        <f t="shared" si="23"/>
        <v>5400</v>
      </c>
      <c r="Y76">
        <f t="shared" si="24"/>
        <v>67.5</v>
      </c>
      <c r="AA76">
        <f t="shared" si="25"/>
        <v>7200</v>
      </c>
      <c r="AB76">
        <f t="shared" si="26"/>
        <v>90</v>
      </c>
      <c r="AD76">
        <f t="shared" si="27"/>
        <v>2700</v>
      </c>
      <c r="AE76">
        <f t="shared" si="28"/>
        <v>33.75</v>
      </c>
      <c r="AG76">
        <f t="shared" si="29"/>
        <v>1800</v>
      </c>
      <c r="AH76">
        <f t="shared" si="30"/>
        <v>22.5</v>
      </c>
    </row>
    <row r="77" spans="1:34" x14ac:dyDescent="0.25">
      <c r="A77">
        <v>76</v>
      </c>
      <c r="B77" t="s">
        <v>106</v>
      </c>
      <c r="C77" t="str">
        <f>ASET_data[[#This Row],[ASET_scenario]]&amp;ASET_data[[#This Row],[Corridor_length]]</f>
        <v>K26</v>
      </c>
      <c r="D77" t="str" cm="1">
        <f t="array" ref="D77">INDEX(fire_location_2[fire_location_2],
  MOD(INT((ROW()-ROW($D$2)) / (ROWS(sprinkler_2[sprinkler_2])*ROWS(door_2[door_2])*ROWS(corridor_2[corridor_2]))),
  ROWS(fire_location_2[fire_location_2])) + 1)</f>
        <v>Corridor</v>
      </c>
      <c r="E77" t="str" cm="1">
        <f t="array" ref="E77">INDEX(sprinkler_2[sprinkler_2],
  MOD(INT((ROW()-ROW($D$2)) / (ROWS(door_2[door_2])*ROWS(corridor_2[corridor_2]))),
  ROWS(sprinkler_2[sprinkler_2])) + 1)</f>
        <v>Control</v>
      </c>
      <c r="F77" t="str" cm="1">
        <f t="array" ref="F77">INDEX(door_2[door_2],
  MOD(INT((ROW()-ROW($D$2)) / ROWS(corridor_2[corridor_2])),
  ROWS(door_2[door_2])) + 1)</f>
        <v>close</v>
      </c>
      <c r="G77" cm="1">
        <f t="array" ref="G77">INDEX(corridor_2[corridor_2],
  MOD(ROW()-ROW($D$2), ROWS(corridor_2[corridor_2])) + 1)</f>
        <v>26</v>
      </c>
      <c r="H77" t="str">
        <f>ASET_data[[#This Row],[Location]]&amp;ASET_data[[#This Row],[Corridor_length]]</f>
        <v>Corridor26</v>
      </c>
      <c r="I77" t="str">
        <f>_xlfn.XLOOKUP(ASET_data[[#This Row],[location_length]],RSET_lookup[location_length],RSET_lookup[RSET_helper])</f>
        <v>E26</v>
      </c>
      <c r="J77" t="str">
        <f t="shared" si="20"/>
        <v>Corridor_Control_close_26</v>
      </c>
      <c r="K77">
        <f>ASET_data[[#This Row],[cor_SD]]+300</f>
        <v>338</v>
      </c>
      <c r="L77" t="s">
        <v>86</v>
      </c>
      <c r="M77">
        <f t="shared" si="18"/>
        <v>3600</v>
      </c>
      <c r="N77">
        <v>38</v>
      </c>
      <c r="O77">
        <v>247</v>
      </c>
      <c r="P77">
        <f t="shared" si="19"/>
        <v>49</v>
      </c>
      <c r="R77">
        <f t="shared" si="31"/>
        <v>3600</v>
      </c>
      <c r="S77">
        <v>49</v>
      </c>
      <c r="U77">
        <f t="shared" si="21"/>
        <v>4500</v>
      </c>
      <c r="V77">
        <f t="shared" si="22"/>
        <v>61.25</v>
      </c>
      <c r="X77">
        <f t="shared" si="23"/>
        <v>5400</v>
      </c>
      <c r="Y77">
        <f t="shared" si="24"/>
        <v>73.5</v>
      </c>
      <c r="AA77">
        <f t="shared" si="25"/>
        <v>7200</v>
      </c>
      <c r="AB77">
        <f t="shared" si="26"/>
        <v>98</v>
      </c>
      <c r="AD77">
        <f t="shared" si="27"/>
        <v>2700</v>
      </c>
      <c r="AE77">
        <f t="shared" si="28"/>
        <v>36.75</v>
      </c>
      <c r="AG77">
        <f t="shared" si="29"/>
        <v>1800</v>
      </c>
      <c r="AH77">
        <f t="shared" si="30"/>
        <v>24.5</v>
      </c>
    </row>
    <row r="78" spans="1:34" x14ac:dyDescent="0.25">
      <c r="A78">
        <v>77</v>
      </c>
      <c r="B78" t="s">
        <v>106</v>
      </c>
      <c r="C78" t="str">
        <f>ASET_data[[#This Row],[ASET_scenario]]&amp;ASET_data[[#This Row],[Corridor_length]]</f>
        <v>K30</v>
      </c>
      <c r="D78" t="str" cm="1">
        <f t="array" ref="D78">INDEX(fire_location_2[fire_location_2],
  MOD(INT((ROW()-ROW($D$2)) / (ROWS(sprinkler_2[sprinkler_2])*ROWS(door_2[door_2])*ROWS(corridor_2[corridor_2]))),
  ROWS(fire_location_2[fire_location_2])) + 1)</f>
        <v>Corridor</v>
      </c>
      <c r="E78" t="str" cm="1">
        <f t="array" ref="E78">INDEX(sprinkler_2[sprinkler_2],
  MOD(INT((ROW()-ROW($D$2)) / (ROWS(door_2[door_2])*ROWS(corridor_2[corridor_2]))),
  ROWS(sprinkler_2[sprinkler_2])) + 1)</f>
        <v>Control</v>
      </c>
      <c r="F78" t="str" cm="1">
        <f t="array" ref="F78">INDEX(door_2[door_2],
  MOD(INT((ROW()-ROW($D$2)) / ROWS(corridor_2[corridor_2])),
  ROWS(door_2[door_2])) + 1)</f>
        <v>close</v>
      </c>
      <c r="G78" cm="1">
        <f t="array" ref="G78">INDEX(corridor_2[corridor_2],
  MOD(ROW()-ROW($D$2), ROWS(corridor_2[corridor_2])) + 1)</f>
        <v>30</v>
      </c>
      <c r="H78" t="str">
        <f>ASET_data[[#This Row],[Location]]&amp;ASET_data[[#This Row],[Corridor_length]]</f>
        <v>Corridor30</v>
      </c>
      <c r="I78" t="str">
        <f>_xlfn.XLOOKUP(ASET_data[[#This Row],[location_length]],RSET_lookup[location_length],RSET_lookup[RSET_helper])</f>
        <v>E30</v>
      </c>
      <c r="J78" t="str">
        <f t="shared" si="20"/>
        <v>Corridor_Control_close_30</v>
      </c>
      <c r="K78">
        <f>ASET_data[[#This Row],[cor_SD]]+300</f>
        <v>338</v>
      </c>
      <c r="L78" t="s">
        <v>86</v>
      </c>
      <c r="M78">
        <f t="shared" si="18"/>
        <v>3600</v>
      </c>
      <c r="N78">
        <v>38</v>
      </c>
      <c r="O78">
        <v>254</v>
      </c>
      <c r="P78">
        <f t="shared" si="19"/>
        <v>53</v>
      </c>
      <c r="R78">
        <f t="shared" si="31"/>
        <v>3600</v>
      </c>
      <c r="S78">
        <v>53</v>
      </c>
      <c r="U78">
        <f t="shared" si="21"/>
        <v>4500</v>
      </c>
      <c r="V78">
        <f t="shared" si="22"/>
        <v>66.25</v>
      </c>
      <c r="X78">
        <f t="shared" si="23"/>
        <v>5400</v>
      </c>
      <c r="Y78">
        <f t="shared" si="24"/>
        <v>79.5</v>
      </c>
      <c r="AA78">
        <f t="shared" si="25"/>
        <v>7200</v>
      </c>
      <c r="AB78">
        <f t="shared" si="26"/>
        <v>106</v>
      </c>
      <c r="AD78">
        <f t="shared" si="27"/>
        <v>2700</v>
      </c>
      <c r="AE78">
        <f t="shared" si="28"/>
        <v>39.75</v>
      </c>
      <c r="AG78">
        <f t="shared" si="29"/>
        <v>1800</v>
      </c>
      <c r="AH78">
        <f t="shared" si="30"/>
        <v>26.5</v>
      </c>
    </row>
    <row r="79" spans="1:34" x14ac:dyDescent="0.25">
      <c r="A79">
        <v>78</v>
      </c>
      <c r="B79" t="s">
        <v>15</v>
      </c>
      <c r="C79" t="str">
        <f>ASET_data[[#This Row],[ASET_scenario]]&amp;ASET_data[[#This Row],[Corridor_length]]</f>
        <v>L6</v>
      </c>
      <c r="D79" t="str" cm="1">
        <f t="array" ref="D79">INDEX(fire_location_2[fire_location_2],
  MOD(INT((ROW()-ROW($D$2)) / (ROWS(sprinkler_2[sprinkler_2])*ROWS(door_2[door_2])*ROWS(corridor_2[corridor_2]))),
  ROWS(fire_location_2[fire_location_2])) + 1)</f>
        <v>Corridor</v>
      </c>
      <c r="E79" t="str" cm="1">
        <f t="array" ref="E79">INDEX(sprinkler_2[sprinkler_2],
  MOD(INT((ROW()-ROW($D$2)) / (ROWS(door_2[door_2])*ROWS(corridor_2[corridor_2]))),
  ROWS(sprinkler_2[sprinkler_2])) + 1)</f>
        <v>Control</v>
      </c>
      <c r="F79" t="str" cm="1">
        <f t="array" ref="F79">INDEX(door_2[door_2],
  MOD(INT((ROW()-ROW($D$2)) / ROWS(corridor_2[corridor_2])),
  ROWS(door_2[door_2])) + 1)</f>
        <v>part</v>
      </c>
      <c r="G79" cm="1">
        <f t="array" ref="G79">INDEX(corridor_2[corridor_2],
  MOD(ROW()-ROW($D$2), ROWS(corridor_2[corridor_2])) + 1)</f>
        <v>6</v>
      </c>
      <c r="H79" t="str">
        <f>ASET_data[[#This Row],[Location]]&amp;ASET_data[[#This Row],[Corridor_length]]</f>
        <v>Corridor6</v>
      </c>
      <c r="I79" t="str">
        <f>_xlfn.XLOOKUP(ASET_data[[#This Row],[location_length]],RSET_lookup[location_length],RSET_lookup[RSET_helper])</f>
        <v>E6</v>
      </c>
      <c r="J79" t="str">
        <f t="shared" si="20"/>
        <v>Corridor_Control_part_6</v>
      </c>
      <c r="K79">
        <v>67</v>
      </c>
      <c r="L79" t="s">
        <v>86</v>
      </c>
      <c r="M79">
        <f t="shared" si="18"/>
        <v>96</v>
      </c>
      <c r="N79">
        <v>39</v>
      </c>
      <c r="O79">
        <v>209</v>
      </c>
      <c r="P79">
        <f t="shared" si="19"/>
        <v>22</v>
      </c>
      <c r="R79">
        <v>96</v>
      </c>
      <c r="S79">
        <v>22</v>
      </c>
      <c r="U79">
        <f t="shared" si="21"/>
        <v>120</v>
      </c>
      <c r="V79">
        <f t="shared" si="22"/>
        <v>27.5</v>
      </c>
      <c r="X79">
        <f t="shared" si="23"/>
        <v>144</v>
      </c>
      <c r="Y79">
        <f t="shared" si="24"/>
        <v>33</v>
      </c>
      <c r="AA79">
        <f t="shared" si="25"/>
        <v>192</v>
      </c>
      <c r="AB79">
        <f t="shared" si="26"/>
        <v>44</v>
      </c>
      <c r="AD79">
        <f t="shared" si="27"/>
        <v>72</v>
      </c>
      <c r="AE79">
        <f t="shared" si="28"/>
        <v>16.5</v>
      </c>
      <c r="AG79">
        <f t="shared" si="29"/>
        <v>48</v>
      </c>
      <c r="AH79">
        <f t="shared" si="30"/>
        <v>11</v>
      </c>
    </row>
    <row r="80" spans="1:34" x14ac:dyDescent="0.25">
      <c r="A80">
        <v>79</v>
      </c>
      <c r="B80" t="s">
        <v>15</v>
      </c>
      <c r="C80" t="str">
        <f>ASET_data[[#This Row],[ASET_scenario]]&amp;ASET_data[[#This Row],[Corridor_length]]</f>
        <v>L10</v>
      </c>
      <c r="D80" t="str" cm="1">
        <f t="array" ref="D80">INDEX(fire_location_2[fire_location_2],
  MOD(INT((ROW()-ROW($D$2)) / (ROWS(sprinkler_2[sprinkler_2])*ROWS(door_2[door_2])*ROWS(corridor_2[corridor_2]))),
  ROWS(fire_location_2[fire_location_2])) + 1)</f>
        <v>Corridor</v>
      </c>
      <c r="E80" t="str" cm="1">
        <f t="array" ref="E80">INDEX(sprinkler_2[sprinkler_2],
  MOD(INT((ROW()-ROW($D$2)) / (ROWS(door_2[door_2])*ROWS(corridor_2[corridor_2]))),
  ROWS(sprinkler_2[sprinkler_2])) + 1)</f>
        <v>Control</v>
      </c>
      <c r="F80" t="str" cm="1">
        <f t="array" ref="F80">INDEX(door_2[door_2],
  MOD(INT((ROW()-ROW($D$2)) / ROWS(corridor_2[corridor_2])),
  ROWS(door_2[door_2])) + 1)</f>
        <v>part</v>
      </c>
      <c r="G80" cm="1">
        <f t="array" ref="G80">INDEX(corridor_2[corridor_2],
  MOD(ROW()-ROW($D$2), ROWS(corridor_2[corridor_2])) + 1)</f>
        <v>10</v>
      </c>
      <c r="H80" t="str">
        <f>ASET_data[[#This Row],[Location]]&amp;ASET_data[[#This Row],[Corridor_length]]</f>
        <v>Corridor10</v>
      </c>
      <c r="I80" t="str">
        <f>_xlfn.XLOOKUP(ASET_data[[#This Row],[location_length]],RSET_lookup[location_length],RSET_lookup[RSET_helper])</f>
        <v>E10</v>
      </c>
      <c r="J80" t="str">
        <f t="shared" si="20"/>
        <v>Corridor_Control_part_10</v>
      </c>
      <c r="K80">
        <v>74</v>
      </c>
      <c r="L80" t="s">
        <v>86</v>
      </c>
      <c r="M80">
        <f t="shared" si="18"/>
        <v>102</v>
      </c>
      <c r="N80">
        <v>41</v>
      </c>
      <c r="O80">
        <v>217</v>
      </c>
      <c r="P80">
        <f t="shared" si="19"/>
        <v>29</v>
      </c>
      <c r="R80">
        <v>102</v>
      </c>
      <c r="S80">
        <v>29</v>
      </c>
      <c r="U80">
        <f t="shared" si="21"/>
        <v>127.5</v>
      </c>
      <c r="V80">
        <f t="shared" si="22"/>
        <v>36.25</v>
      </c>
      <c r="X80">
        <f t="shared" si="23"/>
        <v>153</v>
      </c>
      <c r="Y80">
        <f t="shared" si="24"/>
        <v>43.5</v>
      </c>
      <c r="AA80">
        <f t="shared" si="25"/>
        <v>204</v>
      </c>
      <c r="AB80">
        <f t="shared" si="26"/>
        <v>58</v>
      </c>
      <c r="AD80">
        <f t="shared" si="27"/>
        <v>76.5</v>
      </c>
      <c r="AE80">
        <f t="shared" si="28"/>
        <v>21.75</v>
      </c>
      <c r="AG80">
        <f t="shared" si="29"/>
        <v>51</v>
      </c>
      <c r="AH80">
        <f t="shared" si="30"/>
        <v>14.5</v>
      </c>
    </row>
    <row r="81" spans="1:34" x14ac:dyDescent="0.25">
      <c r="A81">
        <v>80</v>
      </c>
      <c r="B81" t="s">
        <v>15</v>
      </c>
      <c r="C81" t="str">
        <f>ASET_data[[#This Row],[ASET_scenario]]&amp;ASET_data[[#This Row],[Corridor_length]]</f>
        <v>L14</v>
      </c>
      <c r="D81" t="str" cm="1">
        <f t="array" ref="D81">INDEX(fire_location_2[fire_location_2],
  MOD(INT((ROW()-ROW($D$2)) / (ROWS(sprinkler_2[sprinkler_2])*ROWS(door_2[door_2])*ROWS(corridor_2[corridor_2]))),
  ROWS(fire_location_2[fire_location_2])) + 1)</f>
        <v>Corridor</v>
      </c>
      <c r="E81" t="str" cm="1">
        <f t="array" ref="E81">INDEX(sprinkler_2[sprinkler_2],
  MOD(INT((ROW()-ROW($D$2)) / (ROWS(door_2[door_2])*ROWS(corridor_2[corridor_2]))),
  ROWS(sprinkler_2[sprinkler_2])) + 1)</f>
        <v>Control</v>
      </c>
      <c r="F81" t="str" cm="1">
        <f t="array" ref="F81">INDEX(door_2[door_2],
  MOD(INT((ROW()-ROW($D$2)) / ROWS(corridor_2[corridor_2])),
  ROWS(door_2[door_2])) + 1)</f>
        <v>part</v>
      </c>
      <c r="G81" cm="1">
        <f t="array" ref="G81">INDEX(corridor_2[corridor_2],
  MOD(ROW()-ROW($D$2), ROWS(corridor_2[corridor_2])) + 1)</f>
        <v>14</v>
      </c>
      <c r="H81" t="str">
        <f>ASET_data[[#This Row],[Location]]&amp;ASET_data[[#This Row],[Corridor_length]]</f>
        <v>Corridor14</v>
      </c>
      <c r="I81" t="str">
        <f>_xlfn.XLOOKUP(ASET_data[[#This Row],[location_length]],RSET_lookup[location_length],RSET_lookup[RSET_helper])</f>
        <v>E14</v>
      </c>
      <c r="J81" t="str">
        <f t="shared" si="20"/>
        <v>Corridor_Control_part_14</v>
      </c>
      <c r="K81">
        <v>79</v>
      </c>
      <c r="L81" t="s">
        <v>86</v>
      </c>
      <c r="M81">
        <f t="shared" si="18"/>
        <v>108</v>
      </c>
      <c r="N81">
        <v>39</v>
      </c>
      <c r="O81">
        <v>228</v>
      </c>
      <c r="P81">
        <f t="shared" si="19"/>
        <v>35</v>
      </c>
      <c r="R81">
        <v>108</v>
      </c>
      <c r="S81">
        <v>35</v>
      </c>
      <c r="U81">
        <f t="shared" si="21"/>
        <v>135</v>
      </c>
      <c r="V81">
        <f t="shared" si="22"/>
        <v>43.75</v>
      </c>
      <c r="X81">
        <f t="shared" si="23"/>
        <v>162</v>
      </c>
      <c r="Y81">
        <f t="shared" si="24"/>
        <v>52.5</v>
      </c>
      <c r="AA81">
        <f t="shared" si="25"/>
        <v>216</v>
      </c>
      <c r="AB81">
        <f t="shared" si="26"/>
        <v>70</v>
      </c>
      <c r="AD81">
        <f t="shared" si="27"/>
        <v>81</v>
      </c>
      <c r="AE81">
        <f t="shared" si="28"/>
        <v>26.25</v>
      </c>
      <c r="AG81">
        <f t="shared" si="29"/>
        <v>54</v>
      </c>
      <c r="AH81">
        <f t="shared" si="30"/>
        <v>17.5</v>
      </c>
    </row>
    <row r="82" spans="1:34" x14ac:dyDescent="0.25">
      <c r="A82">
        <v>81</v>
      </c>
      <c r="B82" t="s">
        <v>15</v>
      </c>
      <c r="C82" t="str">
        <f>ASET_data[[#This Row],[ASET_scenario]]&amp;ASET_data[[#This Row],[Corridor_length]]</f>
        <v>L18</v>
      </c>
      <c r="D82" t="str" cm="1">
        <f t="array" ref="D82">INDEX(fire_location_2[fire_location_2],
  MOD(INT((ROW()-ROW($D$2)) / (ROWS(sprinkler_2[sprinkler_2])*ROWS(door_2[door_2])*ROWS(corridor_2[corridor_2]))),
  ROWS(fire_location_2[fire_location_2])) + 1)</f>
        <v>Corridor</v>
      </c>
      <c r="E82" t="str" cm="1">
        <f t="array" ref="E82">INDEX(sprinkler_2[sprinkler_2],
  MOD(INT((ROW()-ROW($D$2)) / (ROWS(door_2[door_2])*ROWS(corridor_2[corridor_2]))),
  ROWS(sprinkler_2[sprinkler_2])) + 1)</f>
        <v>Control</v>
      </c>
      <c r="F82" t="str" cm="1">
        <f t="array" ref="F82">INDEX(door_2[door_2],
  MOD(INT((ROW()-ROW($D$2)) / ROWS(corridor_2[corridor_2])),
  ROWS(door_2[door_2])) + 1)</f>
        <v>part</v>
      </c>
      <c r="G82" cm="1">
        <f t="array" ref="G82">INDEX(corridor_2[corridor_2],
  MOD(ROW()-ROW($D$2), ROWS(corridor_2[corridor_2])) + 1)</f>
        <v>18</v>
      </c>
      <c r="H82" t="str">
        <f>ASET_data[[#This Row],[Location]]&amp;ASET_data[[#This Row],[Corridor_length]]</f>
        <v>Corridor18</v>
      </c>
      <c r="I82" t="str">
        <f>_xlfn.XLOOKUP(ASET_data[[#This Row],[location_length]],RSET_lookup[location_length],RSET_lookup[RSET_helper])</f>
        <v>E18</v>
      </c>
      <c r="J82" t="str">
        <f t="shared" si="20"/>
        <v>Corridor_Control_part_18</v>
      </c>
      <c r="K82">
        <v>83</v>
      </c>
      <c r="L82" t="s">
        <v>86</v>
      </c>
      <c r="M82">
        <f t="shared" si="18"/>
        <v>113</v>
      </c>
      <c r="N82">
        <v>39</v>
      </c>
      <c r="O82">
        <v>236</v>
      </c>
      <c r="P82">
        <f t="shared" si="19"/>
        <v>40</v>
      </c>
      <c r="R82">
        <v>113</v>
      </c>
      <c r="S82">
        <v>40</v>
      </c>
      <c r="U82">
        <f t="shared" si="21"/>
        <v>141.25</v>
      </c>
      <c r="V82">
        <f t="shared" si="22"/>
        <v>50</v>
      </c>
      <c r="X82">
        <f t="shared" si="23"/>
        <v>169.5</v>
      </c>
      <c r="Y82">
        <f t="shared" si="24"/>
        <v>60</v>
      </c>
      <c r="AA82">
        <f t="shared" si="25"/>
        <v>226</v>
      </c>
      <c r="AB82">
        <f t="shared" si="26"/>
        <v>80</v>
      </c>
      <c r="AD82">
        <f t="shared" si="27"/>
        <v>84.75</v>
      </c>
      <c r="AE82">
        <f t="shared" si="28"/>
        <v>30</v>
      </c>
      <c r="AG82">
        <f t="shared" si="29"/>
        <v>56.5</v>
      </c>
      <c r="AH82">
        <f t="shared" si="30"/>
        <v>20</v>
      </c>
    </row>
    <row r="83" spans="1:34" x14ac:dyDescent="0.25">
      <c r="A83">
        <v>82</v>
      </c>
      <c r="B83" t="s">
        <v>15</v>
      </c>
      <c r="C83" t="str">
        <f>ASET_data[[#This Row],[ASET_scenario]]&amp;ASET_data[[#This Row],[Corridor_length]]</f>
        <v>L22</v>
      </c>
      <c r="D83" t="str" cm="1">
        <f t="array" ref="D83">INDEX(fire_location_2[fire_location_2],
  MOD(INT((ROW()-ROW($D$2)) / (ROWS(sprinkler_2[sprinkler_2])*ROWS(door_2[door_2])*ROWS(corridor_2[corridor_2]))),
  ROWS(fire_location_2[fire_location_2])) + 1)</f>
        <v>Corridor</v>
      </c>
      <c r="E83" t="str" cm="1">
        <f t="array" ref="E83">INDEX(sprinkler_2[sprinkler_2],
  MOD(INT((ROW()-ROW($D$2)) / (ROWS(door_2[door_2])*ROWS(corridor_2[corridor_2]))),
  ROWS(sprinkler_2[sprinkler_2])) + 1)</f>
        <v>Control</v>
      </c>
      <c r="F83" t="str" cm="1">
        <f t="array" ref="F83">INDEX(door_2[door_2],
  MOD(INT((ROW()-ROW($D$2)) / ROWS(corridor_2[corridor_2])),
  ROWS(door_2[door_2])) + 1)</f>
        <v>part</v>
      </c>
      <c r="G83" cm="1">
        <f t="array" ref="G83">INDEX(corridor_2[corridor_2],
  MOD(ROW()-ROW($D$2), ROWS(corridor_2[corridor_2])) + 1)</f>
        <v>22</v>
      </c>
      <c r="H83" t="str">
        <f>ASET_data[[#This Row],[Location]]&amp;ASET_data[[#This Row],[Corridor_length]]</f>
        <v>Corridor22</v>
      </c>
      <c r="I83" t="str">
        <f>_xlfn.XLOOKUP(ASET_data[[#This Row],[location_length]],RSET_lookup[location_length],RSET_lookup[RSET_helper])</f>
        <v>E22</v>
      </c>
      <c r="J83" t="str">
        <f t="shared" si="20"/>
        <v>Corridor_Control_part_22</v>
      </c>
      <c r="K83">
        <v>86</v>
      </c>
      <c r="L83" t="s">
        <v>86</v>
      </c>
      <c r="M83">
        <f t="shared" si="18"/>
        <v>118</v>
      </c>
      <c r="N83">
        <v>39</v>
      </c>
      <c r="O83">
        <v>244</v>
      </c>
      <c r="P83">
        <f t="shared" si="19"/>
        <v>45</v>
      </c>
      <c r="R83">
        <v>118</v>
      </c>
      <c r="S83">
        <v>45</v>
      </c>
      <c r="U83">
        <f t="shared" si="21"/>
        <v>147.5</v>
      </c>
      <c r="V83">
        <f t="shared" si="22"/>
        <v>56.25</v>
      </c>
      <c r="X83">
        <f t="shared" si="23"/>
        <v>177</v>
      </c>
      <c r="Y83">
        <f t="shared" si="24"/>
        <v>67.5</v>
      </c>
      <c r="AA83">
        <f t="shared" si="25"/>
        <v>236</v>
      </c>
      <c r="AB83">
        <f t="shared" si="26"/>
        <v>90</v>
      </c>
      <c r="AD83">
        <f t="shared" si="27"/>
        <v>88.5</v>
      </c>
      <c r="AE83">
        <f t="shared" si="28"/>
        <v>33.75</v>
      </c>
      <c r="AG83">
        <f t="shared" si="29"/>
        <v>59</v>
      </c>
      <c r="AH83">
        <f t="shared" si="30"/>
        <v>22.5</v>
      </c>
    </row>
    <row r="84" spans="1:34" x14ac:dyDescent="0.25">
      <c r="A84">
        <v>83</v>
      </c>
      <c r="B84" t="s">
        <v>15</v>
      </c>
      <c r="C84" t="str">
        <f>ASET_data[[#This Row],[ASET_scenario]]&amp;ASET_data[[#This Row],[Corridor_length]]</f>
        <v>L26</v>
      </c>
      <c r="D84" t="str" cm="1">
        <f t="array" ref="D84">INDEX(fire_location_2[fire_location_2],
  MOD(INT((ROW()-ROW($D$2)) / (ROWS(sprinkler_2[sprinkler_2])*ROWS(door_2[door_2])*ROWS(corridor_2[corridor_2]))),
  ROWS(fire_location_2[fire_location_2])) + 1)</f>
        <v>Corridor</v>
      </c>
      <c r="E84" t="str" cm="1">
        <f t="array" ref="E84">INDEX(sprinkler_2[sprinkler_2],
  MOD(INT((ROW()-ROW($D$2)) / (ROWS(door_2[door_2])*ROWS(corridor_2[corridor_2]))),
  ROWS(sprinkler_2[sprinkler_2])) + 1)</f>
        <v>Control</v>
      </c>
      <c r="F84" t="str" cm="1">
        <f t="array" ref="F84">INDEX(door_2[door_2],
  MOD(INT((ROW()-ROW($D$2)) / ROWS(corridor_2[corridor_2])),
  ROWS(door_2[door_2])) + 1)</f>
        <v>part</v>
      </c>
      <c r="G84" cm="1">
        <f t="array" ref="G84">INDEX(corridor_2[corridor_2],
  MOD(ROW()-ROW($D$2), ROWS(corridor_2[corridor_2])) + 1)</f>
        <v>26</v>
      </c>
      <c r="H84" t="str">
        <f>ASET_data[[#This Row],[Location]]&amp;ASET_data[[#This Row],[Corridor_length]]</f>
        <v>Corridor26</v>
      </c>
      <c r="I84" t="str">
        <f>_xlfn.XLOOKUP(ASET_data[[#This Row],[location_length]],RSET_lookup[location_length],RSET_lookup[RSET_helper])</f>
        <v>E26</v>
      </c>
      <c r="J84" t="str">
        <f t="shared" si="20"/>
        <v>Corridor_Control_part_26</v>
      </c>
      <c r="K84">
        <v>89</v>
      </c>
      <c r="L84" t="s">
        <v>86</v>
      </c>
      <c r="M84">
        <f t="shared" si="18"/>
        <v>122</v>
      </c>
      <c r="N84">
        <v>38</v>
      </c>
      <c r="O84">
        <v>251</v>
      </c>
      <c r="P84">
        <f t="shared" si="19"/>
        <v>49</v>
      </c>
      <c r="R84">
        <v>122</v>
      </c>
      <c r="S84">
        <v>49</v>
      </c>
      <c r="U84">
        <f t="shared" si="21"/>
        <v>152.5</v>
      </c>
      <c r="V84">
        <f t="shared" si="22"/>
        <v>61.25</v>
      </c>
      <c r="X84">
        <f t="shared" si="23"/>
        <v>183</v>
      </c>
      <c r="Y84">
        <f t="shared" si="24"/>
        <v>73.5</v>
      </c>
      <c r="AA84">
        <f t="shared" si="25"/>
        <v>244</v>
      </c>
      <c r="AB84">
        <f t="shared" si="26"/>
        <v>98</v>
      </c>
      <c r="AD84">
        <f t="shared" si="27"/>
        <v>91.5</v>
      </c>
      <c r="AE84">
        <f t="shared" si="28"/>
        <v>36.75</v>
      </c>
      <c r="AG84">
        <f t="shared" si="29"/>
        <v>61</v>
      </c>
      <c r="AH84">
        <f t="shared" si="30"/>
        <v>24.5</v>
      </c>
    </row>
    <row r="85" spans="1:34" x14ac:dyDescent="0.25">
      <c r="A85">
        <v>84</v>
      </c>
      <c r="B85" t="s">
        <v>15</v>
      </c>
      <c r="C85" t="str">
        <f>ASET_data[[#This Row],[ASET_scenario]]&amp;ASET_data[[#This Row],[Corridor_length]]</f>
        <v>L30</v>
      </c>
      <c r="D85" t="str" cm="1">
        <f t="array" ref="D85">INDEX(fire_location_2[fire_location_2],
  MOD(INT((ROW()-ROW($D$2)) / (ROWS(sprinkler_2[sprinkler_2])*ROWS(door_2[door_2])*ROWS(corridor_2[corridor_2]))),
  ROWS(fire_location_2[fire_location_2])) + 1)</f>
        <v>Corridor</v>
      </c>
      <c r="E85" t="str" cm="1">
        <f t="array" ref="E85">INDEX(sprinkler_2[sprinkler_2],
  MOD(INT((ROW()-ROW($D$2)) / (ROWS(door_2[door_2])*ROWS(corridor_2[corridor_2]))),
  ROWS(sprinkler_2[sprinkler_2])) + 1)</f>
        <v>Control</v>
      </c>
      <c r="F85" t="str" cm="1">
        <f t="array" ref="F85">INDEX(door_2[door_2],
  MOD(INT((ROW()-ROW($D$2)) / ROWS(corridor_2[corridor_2])),
  ROWS(door_2[door_2])) + 1)</f>
        <v>part</v>
      </c>
      <c r="G85" cm="1">
        <f t="array" ref="G85">INDEX(corridor_2[corridor_2],
  MOD(ROW()-ROW($D$2), ROWS(corridor_2[corridor_2])) + 1)</f>
        <v>30</v>
      </c>
      <c r="H85" t="str">
        <f>ASET_data[[#This Row],[Location]]&amp;ASET_data[[#This Row],[Corridor_length]]</f>
        <v>Corridor30</v>
      </c>
      <c r="I85" t="str">
        <f>_xlfn.XLOOKUP(ASET_data[[#This Row],[location_length]],RSET_lookup[location_length],RSET_lookup[RSET_helper])</f>
        <v>E30</v>
      </c>
      <c r="J85" t="str">
        <f t="shared" si="20"/>
        <v>Corridor_Control_part_30</v>
      </c>
      <c r="K85">
        <v>94</v>
      </c>
      <c r="L85" t="s">
        <v>86</v>
      </c>
      <c r="M85">
        <f t="shared" si="18"/>
        <v>126</v>
      </c>
      <c r="N85">
        <v>38</v>
      </c>
      <c r="O85">
        <v>258</v>
      </c>
      <c r="P85">
        <f t="shared" si="19"/>
        <v>53</v>
      </c>
      <c r="R85">
        <v>126</v>
      </c>
      <c r="S85">
        <v>53</v>
      </c>
      <c r="U85">
        <f t="shared" si="21"/>
        <v>157.5</v>
      </c>
      <c r="V85">
        <f t="shared" si="22"/>
        <v>66.25</v>
      </c>
      <c r="X85">
        <f t="shared" si="23"/>
        <v>189</v>
      </c>
      <c r="Y85">
        <f t="shared" si="24"/>
        <v>79.5</v>
      </c>
      <c r="AA85">
        <f t="shared" si="25"/>
        <v>252</v>
      </c>
      <c r="AB85">
        <f t="shared" si="26"/>
        <v>106</v>
      </c>
      <c r="AD85">
        <f t="shared" si="27"/>
        <v>94.5</v>
      </c>
      <c r="AE85">
        <f t="shared" si="28"/>
        <v>39.75</v>
      </c>
      <c r="AG85">
        <f t="shared" si="29"/>
        <v>63</v>
      </c>
      <c r="AH85">
        <f t="shared" si="30"/>
        <v>26.5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8C2A9-0322-4418-AC3D-12DA3230765A}">
  <sheetPr codeName="Sheet4"/>
  <dimension ref="C3:Z48"/>
  <sheetViews>
    <sheetView workbookViewId="0">
      <selection activeCell="U27" sqref="U27"/>
    </sheetView>
  </sheetViews>
  <sheetFormatPr defaultRowHeight="15" x14ac:dyDescent="0.25"/>
  <cols>
    <col min="3" max="3" width="27.28515625" bestFit="1" customWidth="1"/>
    <col min="4" max="4" width="13" bestFit="1" customWidth="1"/>
    <col min="20" max="20" width="18.7109375" customWidth="1"/>
    <col min="21" max="21" width="10.7109375" customWidth="1"/>
    <col min="22" max="22" width="11" customWidth="1"/>
    <col min="24" max="24" width="16.5703125" customWidth="1"/>
  </cols>
  <sheetData>
    <row r="3" spans="3:26" x14ac:dyDescent="0.25">
      <c r="C3" t="s">
        <v>78</v>
      </c>
    </row>
    <row r="4" spans="3:26" x14ac:dyDescent="0.25">
      <c r="C4" t="s">
        <v>11</v>
      </c>
      <c r="E4">
        <v>2</v>
      </c>
      <c r="T4">
        <v>2</v>
      </c>
      <c r="U4">
        <v>2</v>
      </c>
      <c r="V4">
        <v>3</v>
      </c>
      <c r="W4">
        <f>PRODUCT(T4:V4)</f>
        <v>12</v>
      </c>
      <c r="X4">
        <f>W4*7</f>
        <v>84</v>
      </c>
    </row>
    <row r="5" spans="3:26" x14ac:dyDescent="0.25">
      <c r="C5" t="s">
        <v>12</v>
      </c>
      <c r="Q5" t="s">
        <v>66</v>
      </c>
      <c r="S5" t="s">
        <v>57</v>
      </c>
      <c r="T5" t="s">
        <v>10</v>
      </c>
      <c r="U5" t="s">
        <v>13</v>
      </c>
      <c r="V5" t="s">
        <v>58</v>
      </c>
      <c r="W5" t="s">
        <v>65</v>
      </c>
    </row>
    <row r="6" spans="3:26" x14ac:dyDescent="0.25">
      <c r="R6">
        <v>6</v>
      </c>
      <c r="T6">
        <v>1</v>
      </c>
      <c r="U6" t="s">
        <v>59</v>
      </c>
      <c r="V6" t="s">
        <v>61</v>
      </c>
      <c r="W6" t="s">
        <v>63</v>
      </c>
      <c r="X6" t="str">
        <f>U6 &amp; "_" &amp; V6 &amp; "_" &amp; W6</f>
        <v>apt_control_open</v>
      </c>
      <c r="Y6" t="s">
        <v>67</v>
      </c>
    </row>
    <row r="7" spans="3:26" x14ac:dyDescent="0.25">
      <c r="G7" t="s">
        <v>51</v>
      </c>
      <c r="R7">
        <v>10</v>
      </c>
      <c r="T7">
        <v>2</v>
      </c>
      <c r="U7" t="s">
        <v>59</v>
      </c>
      <c r="V7" t="s">
        <v>61</v>
      </c>
      <c r="W7" t="s">
        <v>64</v>
      </c>
      <c r="X7" t="str">
        <f t="shared" ref="W7:X13" si="0">U7 &amp; "_" &amp; V7 &amp; "_" &amp; W7</f>
        <v>apt_control_close</v>
      </c>
      <c r="Y7" t="s">
        <v>67</v>
      </c>
      <c r="Z7" t="s">
        <v>68</v>
      </c>
    </row>
    <row r="8" spans="3:26" x14ac:dyDescent="0.25">
      <c r="R8">
        <v>14</v>
      </c>
      <c r="T8">
        <v>3</v>
      </c>
      <c r="U8" t="s">
        <v>59</v>
      </c>
      <c r="V8" t="s">
        <v>62</v>
      </c>
      <c r="W8" t="s">
        <v>63</v>
      </c>
      <c r="X8" t="str">
        <f t="shared" si="0"/>
        <v>apt_fail_open</v>
      </c>
      <c r="Y8" t="s">
        <v>67</v>
      </c>
    </row>
    <row r="9" spans="3:26" x14ac:dyDescent="0.25">
      <c r="R9">
        <v>18</v>
      </c>
      <c r="T9">
        <v>4</v>
      </c>
      <c r="U9" t="s">
        <v>59</v>
      </c>
      <c r="V9" t="s">
        <v>62</v>
      </c>
      <c r="W9" t="s">
        <v>64</v>
      </c>
      <c r="X9" t="str">
        <f t="shared" si="0"/>
        <v>apt_fail_close</v>
      </c>
      <c r="Y9" t="s">
        <v>67</v>
      </c>
      <c r="Z9" t="s">
        <v>68</v>
      </c>
    </row>
    <row r="10" spans="3:26" x14ac:dyDescent="0.25">
      <c r="R10">
        <v>22</v>
      </c>
      <c r="T10">
        <v>5</v>
      </c>
      <c r="U10" t="s">
        <v>60</v>
      </c>
      <c r="V10" t="s">
        <v>61</v>
      </c>
      <c r="W10" t="s">
        <v>63</v>
      </c>
      <c r="X10" t="str">
        <f t="shared" si="0"/>
        <v>cor_control_open</v>
      </c>
      <c r="Y10" t="s">
        <v>67</v>
      </c>
    </row>
    <row r="11" spans="3:26" x14ac:dyDescent="0.25">
      <c r="R11">
        <v>26</v>
      </c>
      <c r="T11">
        <v>6</v>
      </c>
      <c r="U11" t="s">
        <v>60</v>
      </c>
      <c r="V11" t="s">
        <v>61</v>
      </c>
      <c r="W11" t="s">
        <v>64</v>
      </c>
      <c r="X11" t="str">
        <f t="shared" si="0"/>
        <v>cor_control_close</v>
      </c>
      <c r="Z11" t="s">
        <v>68</v>
      </c>
    </row>
    <row r="12" spans="3:26" x14ac:dyDescent="0.25">
      <c r="C12" t="s">
        <v>77</v>
      </c>
      <c r="Q12">
        <v>30</v>
      </c>
      <c r="S12">
        <v>7</v>
      </c>
      <c r="T12" t="s">
        <v>60</v>
      </c>
      <c r="U12" t="s">
        <v>62</v>
      </c>
      <c r="V12" t="s">
        <v>63</v>
      </c>
      <c r="W12" t="str">
        <f t="shared" si="0"/>
        <v>cor_fail_open</v>
      </c>
    </row>
    <row r="13" spans="3:26" x14ac:dyDescent="0.25">
      <c r="C13" t="s">
        <v>2</v>
      </c>
      <c r="S13">
        <v>8</v>
      </c>
      <c r="T13" t="s">
        <v>60</v>
      </c>
      <c r="U13" t="s">
        <v>62</v>
      </c>
      <c r="V13" t="s">
        <v>64</v>
      </c>
      <c r="W13" t="str">
        <f t="shared" si="0"/>
        <v>cor_fail_close</v>
      </c>
      <c r="Y13" t="s">
        <v>68</v>
      </c>
    </row>
    <row r="14" spans="3:26" x14ac:dyDescent="0.25">
      <c r="C14" t="s">
        <v>14</v>
      </c>
    </row>
    <row r="16" spans="3:26" x14ac:dyDescent="0.25">
      <c r="F16">
        <v>2</v>
      </c>
      <c r="G16" t="s">
        <v>52</v>
      </c>
    </row>
    <row r="20" spans="3:25" x14ac:dyDescent="0.25">
      <c r="T20" t="s">
        <v>57</v>
      </c>
      <c r="U20" t="s">
        <v>10</v>
      </c>
      <c r="V20" t="s">
        <v>13</v>
      </c>
      <c r="W20" t="s">
        <v>58</v>
      </c>
      <c r="X20" t="s">
        <v>71</v>
      </c>
    </row>
    <row r="21" spans="3:25" x14ac:dyDescent="0.25">
      <c r="C21" t="s">
        <v>76</v>
      </c>
      <c r="E21">
        <v>1</v>
      </c>
      <c r="F21" t="s">
        <v>52</v>
      </c>
      <c r="S21">
        <v>1</v>
      </c>
      <c r="T21" t="s">
        <v>59</v>
      </c>
      <c r="U21" t="s">
        <v>61</v>
      </c>
      <c r="V21" t="s">
        <v>63</v>
      </c>
      <c r="W21" t="str">
        <f>T21 &amp; "_" &amp; U21 &amp; "_" &amp; V21</f>
        <v>apt_control_open</v>
      </c>
      <c r="X21" t="s">
        <v>67</v>
      </c>
    </row>
    <row r="22" spans="3:25" x14ac:dyDescent="0.25">
      <c r="C22" t="s">
        <v>63</v>
      </c>
      <c r="S22">
        <v>2</v>
      </c>
      <c r="T22" t="s">
        <v>59</v>
      </c>
      <c r="U22" t="s">
        <v>61</v>
      </c>
      <c r="V22" t="s">
        <v>64</v>
      </c>
      <c r="W22" t="str">
        <f t="shared" ref="W22:X32" si="1">T22 &amp; "_" &amp; U22 &amp; "_" &amp; V22</f>
        <v>apt_control_close</v>
      </c>
      <c r="X22" t="s">
        <v>67</v>
      </c>
      <c r="Y22" t="s">
        <v>68</v>
      </c>
    </row>
    <row r="23" spans="3:25" x14ac:dyDescent="0.25">
      <c r="C23" t="s">
        <v>64</v>
      </c>
      <c r="S23">
        <v>3</v>
      </c>
      <c r="T23" t="s">
        <v>59</v>
      </c>
      <c r="U23" t="s">
        <v>61</v>
      </c>
      <c r="V23" t="s">
        <v>72</v>
      </c>
      <c r="W23" t="str">
        <f t="shared" si="1"/>
        <v>apt_control_part</v>
      </c>
      <c r="X23" t="s">
        <v>67</v>
      </c>
    </row>
    <row r="24" spans="3:25" x14ac:dyDescent="0.25">
      <c r="C24" t="s">
        <v>72</v>
      </c>
      <c r="T24">
        <v>4</v>
      </c>
      <c r="U24" t="s">
        <v>59</v>
      </c>
      <c r="V24" t="s">
        <v>62</v>
      </c>
      <c r="W24" t="s">
        <v>63</v>
      </c>
      <c r="X24" t="str">
        <f t="shared" si="1"/>
        <v>apt_fail_open</v>
      </c>
      <c r="Y24" t="s">
        <v>67</v>
      </c>
    </row>
    <row r="25" spans="3:25" x14ac:dyDescent="0.25">
      <c r="E25">
        <v>2</v>
      </c>
      <c r="S25">
        <v>5</v>
      </c>
      <c r="T25" t="s">
        <v>59</v>
      </c>
      <c r="U25" t="s">
        <v>62</v>
      </c>
      <c r="V25" t="s">
        <v>64</v>
      </c>
      <c r="W25" t="str">
        <f t="shared" si="1"/>
        <v>apt_fail_close</v>
      </c>
      <c r="X25" t="s">
        <v>67</v>
      </c>
      <c r="Y25" t="s">
        <v>68</v>
      </c>
    </row>
    <row r="26" spans="3:25" x14ac:dyDescent="0.25">
      <c r="C26" t="s">
        <v>75</v>
      </c>
      <c r="S26">
        <v>6</v>
      </c>
      <c r="T26" t="s">
        <v>59</v>
      </c>
      <c r="U26" t="s">
        <v>62</v>
      </c>
      <c r="V26" t="s">
        <v>72</v>
      </c>
      <c r="W26" t="str">
        <f t="shared" si="1"/>
        <v>apt_fail_part</v>
      </c>
      <c r="X26" t="s">
        <v>67</v>
      </c>
    </row>
    <row r="27" spans="3:25" x14ac:dyDescent="0.25">
      <c r="C27">
        <v>6</v>
      </c>
      <c r="S27">
        <v>7</v>
      </c>
      <c r="T27" t="s">
        <v>60</v>
      </c>
      <c r="U27" t="s">
        <v>61</v>
      </c>
      <c r="V27" t="s">
        <v>63</v>
      </c>
      <c r="W27" t="str">
        <f t="shared" si="1"/>
        <v>cor_control_open</v>
      </c>
      <c r="X27" t="s">
        <v>67</v>
      </c>
    </row>
    <row r="28" spans="3:25" x14ac:dyDescent="0.25">
      <c r="C28">
        <v>10</v>
      </c>
      <c r="T28">
        <v>8</v>
      </c>
      <c r="U28" t="s">
        <v>60</v>
      </c>
      <c r="V28" t="s">
        <v>61</v>
      </c>
      <c r="W28" t="s">
        <v>64</v>
      </c>
      <c r="X28" t="str">
        <f t="shared" si="1"/>
        <v>cor_control_close</v>
      </c>
      <c r="Y28" t="s">
        <v>67</v>
      </c>
    </row>
    <row r="29" spans="3:25" x14ac:dyDescent="0.25">
      <c r="C29">
        <v>14</v>
      </c>
      <c r="F29" t="s">
        <v>53</v>
      </c>
      <c r="S29">
        <v>9</v>
      </c>
      <c r="T29" t="s">
        <v>60</v>
      </c>
      <c r="U29" t="s">
        <v>61</v>
      </c>
      <c r="V29" t="s">
        <v>72</v>
      </c>
      <c r="W29" t="str">
        <f t="shared" si="1"/>
        <v>cor_control_part</v>
      </c>
      <c r="X29" t="s">
        <v>67</v>
      </c>
    </row>
    <row r="30" spans="3:25" x14ac:dyDescent="0.25">
      <c r="C30">
        <v>18</v>
      </c>
      <c r="S30">
        <v>10</v>
      </c>
      <c r="T30" t="s">
        <v>60</v>
      </c>
      <c r="U30" t="s">
        <v>73</v>
      </c>
      <c r="V30" t="s">
        <v>63</v>
      </c>
      <c r="W30" t="str">
        <f t="shared" si="1"/>
        <v>cor_supress_open</v>
      </c>
      <c r="X30" t="s">
        <v>67</v>
      </c>
    </row>
    <row r="31" spans="3:25" x14ac:dyDescent="0.25">
      <c r="C31">
        <v>22</v>
      </c>
      <c r="S31">
        <v>11</v>
      </c>
      <c r="T31" t="s">
        <v>60</v>
      </c>
      <c r="U31" t="s">
        <v>73</v>
      </c>
      <c r="V31" t="s">
        <v>64</v>
      </c>
      <c r="W31" t="str">
        <f t="shared" si="1"/>
        <v>cor_supress_close</v>
      </c>
      <c r="X31" t="s">
        <v>67</v>
      </c>
    </row>
    <row r="32" spans="3:25" x14ac:dyDescent="0.25">
      <c r="C32">
        <v>26</v>
      </c>
      <c r="G32" t="s">
        <v>54</v>
      </c>
      <c r="T32">
        <v>12</v>
      </c>
      <c r="U32" t="s">
        <v>60</v>
      </c>
      <c r="V32" t="s">
        <v>73</v>
      </c>
      <c r="W32" t="s">
        <v>72</v>
      </c>
      <c r="X32" t="str">
        <f t="shared" si="1"/>
        <v>cor_supress_part</v>
      </c>
      <c r="Y32" t="s">
        <v>67</v>
      </c>
    </row>
    <row r="33" spans="3:24" x14ac:dyDescent="0.25">
      <c r="C33">
        <v>30</v>
      </c>
      <c r="G33" t="s">
        <v>55</v>
      </c>
    </row>
    <row r="35" spans="3:24" x14ac:dyDescent="0.25">
      <c r="T35" t="s">
        <v>57</v>
      </c>
      <c r="U35" t="s">
        <v>10</v>
      </c>
      <c r="V35" t="s">
        <v>13</v>
      </c>
      <c r="W35" t="s">
        <v>58</v>
      </c>
      <c r="X35" t="s">
        <v>114</v>
      </c>
    </row>
    <row r="36" spans="3:24" x14ac:dyDescent="0.25">
      <c r="F36">
        <f>PRODUCT(F3:F34)</f>
        <v>2</v>
      </c>
      <c r="G36" t="s">
        <v>56</v>
      </c>
      <c r="S36">
        <v>1</v>
      </c>
      <c r="T36" t="s">
        <v>8</v>
      </c>
      <c r="U36" t="str">
        <f>_xlfn.XLOOKUP($T36,ASET_data[ASET_scenario],ASET_data[Location])</f>
        <v>Apartment</v>
      </c>
      <c r="V36" t="str">
        <f>_xlfn.XLOOKUP($T36,ASET_data[ASET_scenario],ASET_data[Sprinkler])</f>
        <v>Fail</v>
      </c>
      <c r="W36" t="s">
        <v>4</v>
      </c>
      <c r="X36" t="str">
        <f>ASET_lookup[[#This Row],[Location]] &amp; "-" &amp; ASET_lookup[[#This Row],[Sprinkler]] &amp; "-" &amp; ASET_lookup[[#This Row],[Door]]</f>
        <v>Apartment-Fail-Open</v>
      </c>
    </row>
    <row r="37" spans="3:24" x14ac:dyDescent="0.25">
      <c r="S37">
        <v>2</v>
      </c>
      <c r="T37" t="s">
        <v>98</v>
      </c>
      <c r="U37" t="str">
        <f>_xlfn.XLOOKUP($T37,ASET_data[ASET_scenario],ASET_data[Location])</f>
        <v>Apartment</v>
      </c>
      <c r="V37" t="str">
        <f>_xlfn.XLOOKUP($T37,ASET_data[ASET_scenario],ASET_data[Sprinkler])</f>
        <v>Fail</v>
      </c>
      <c r="W37" t="s">
        <v>111</v>
      </c>
      <c r="X37" t="str">
        <f>ASET_lookup[[#This Row],[Location]] &amp; "-" &amp; ASET_lookup[[#This Row],[Sprinkler]] &amp; "-" &amp; ASET_lookup[[#This Row],[Door]]</f>
        <v>Apartment-Fail-Close</v>
      </c>
    </row>
    <row r="38" spans="3:24" x14ac:dyDescent="0.25">
      <c r="S38">
        <v>3</v>
      </c>
      <c r="T38" t="s">
        <v>99</v>
      </c>
      <c r="U38" t="str">
        <f>_xlfn.XLOOKUP($T38,ASET_data[ASET_scenario],ASET_data[Location])</f>
        <v>Apartment</v>
      </c>
      <c r="V38" t="str">
        <f>_xlfn.XLOOKUP($T38,ASET_data[ASET_scenario],ASET_data[Sprinkler])</f>
        <v>Fail</v>
      </c>
      <c r="W38" t="s">
        <v>112</v>
      </c>
      <c r="X38" t="str">
        <f>ASET_lookup[[#This Row],[Location]] &amp; "-" &amp; ASET_lookup[[#This Row],[Sprinkler]] &amp; "-" &amp; ASET_lookup[[#This Row],[Door]]</f>
        <v>Apartment-Fail-Part</v>
      </c>
    </row>
    <row r="39" spans="3:24" x14ac:dyDescent="0.25">
      <c r="S39">
        <v>4</v>
      </c>
      <c r="T39" t="s">
        <v>100</v>
      </c>
      <c r="U39" t="str">
        <f>_xlfn.XLOOKUP($T39,ASET_data[ASET_scenario],ASET_data[Location])</f>
        <v>Apartment</v>
      </c>
      <c r="V39" t="str">
        <f>_xlfn.XLOOKUP($T39,ASET_data[ASET_scenario],ASET_data[Sprinkler])</f>
        <v>Control</v>
      </c>
      <c r="W39" t="s">
        <v>4</v>
      </c>
      <c r="X39" t="str">
        <f>ASET_lookup[[#This Row],[Location]] &amp; "-" &amp; ASET_lookup[[#This Row],[Sprinkler]] &amp; "-" &amp; ASET_lookup[[#This Row],[Door]]</f>
        <v>Apartment-Control-Open</v>
      </c>
    </row>
    <row r="40" spans="3:24" x14ac:dyDescent="0.25">
      <c r="S40">
        <v>5</v>
      </c>
      <c r="T40" t="s">
        <v>101</v>
      </c>
      <c r="U40" t="str">
        <f>_xlfn.XLOOKUP($T40,ASET_data[ASET_scenario],ASET_data[Location])</f>
        <v>Apartment</v>
      </c>
      <c r="V40" t="str">
        <f>_xlfn.XLOOKUP($T40,ASET_data[ASET_scenario],ASET_data[Sprinkler])</f>
        <v>Control</v>
      </c>
      <c r="W40" t="s">
        <v>111</v>
      </c>
      <c r="X40" t="str">
        <f>ASET_lookup[[#This Row],[Location]] &amp; "-" &amp; ASET_lookup[[#This Row],[Sprinkler]] &amp; "-" &amp; ASET_lookup[[#This Row],[Door]]</f>
        <v>Apartment-Control-Close</v>
      </c>
    </row>
    <row r="41" spans="3:24" x14ac:dyDescent="0.25">
      <c r="S41">
        <v>6</v>
      </c>
      <c r="T41" t="s">
        <v>102</v>
      </c>
      <c r="U41" t="str">
        <f>_xlfn.XLOOKUP($T41,ASET_data[ASET_scenario],ASET_data[Location])</f>
        <v>Apartment</v>
      </c>
      <c r="V41" t="str">
        <f>_xlfn.XLOOKUP($T41,ASET_data[ASET_scenario],ASET_data[Sprinkler])</f>
        <v>Control</v>
      </c>
      <c r="W41" t="s">
        <v>112</v>
      </c>
      <c r="X41" t="str">
        <f>ASET_lookup[[#This Row],[Location]] &amp; "-" &amp; ASET_lookup[[#This Row],[Sprinkler]] &amp; "-" &amp; ASET_lookup[[#This Row],[Door]]</f>
        <v>Apartment-Control-Part</v>
      </c>
    </row>
    <row r="42" spans="3:24" x14ac:dyDescent="0.25">
      <c r="S42">
        <v>7</v>
      </c>
      <c r="T42" t="s">
        <v>103</v>
      </c>
      <c r="U42" t="str">
        <f>_xlfn.XLOOKUP($T42,ASET_data[ASET_scenario],ASET_data[Location])</f>
        <v>Corridor</v>
      </c>
      <c r="V42" t="str">
        <f>_xlfn.XLOOKUP($T42,ASET_data[ASET_scenario],ASET_data[Sprinkler])</f>
        <v>Fail</v>
      </c>
      <c r="W42" t="s">
        <v>4</v>
      </c>
      <c r="X42" t="str">
        <f>ASET_lookup[[#This Row],[Location]] &amp; "-" &amp; ASET_lookup[[#This Row],[Sprinkler]] &amp; "-" &amp; ASET_lookup[[#This Row],[Door]]</f>
        <v>Corridor-Fail-Open</v>
      </c>
    </row>
    <row r="43" spans="3:24" x14ac:dyDescent="0.25">
      <c r="S43">
        <v>8</v>
      </c>
      <c r="T43" t="s">
        <v>16</v>
      </c>
      <c r="U43" t="str">
        <f>_xlfn.XLOOKUP($T43,ASET_data[ASET_scenario],ASET_data[Location])</f>
        <v>Corridor</v>
      </c>
      <c r="V43" t="str">
        <f>_xlfn.XLOOKUP($T43,ASET_data[ASET_scenario],ASET_data[Sprinkler])</f>
        <v>Fail</v>
      </c>
      <c r="W43" t="s">
        <v>111</v>
      </c>
      <c r="X43" t="str">
        <f>ASET_lookup[[#This Row],[Location]] &amp; "-" &amp; ASET_lookup[[#This Row],[Sprinkler]] &amp; "-" &amp; ASET_lookup[[#This Row],[Door]]</f>
        <v>Corridor-Fail-Close</v>
      </c>
    </row>
    <row r="44" spans="3:24" x14ac:dyDescent="0.25">
      <c r="S44">
        <v>9</v>
      </c>
      <c r="T44" t="s">
        <v>104</v>
      </c>
      <c r="U44" t="str">
        <f>_xlfn.XLOOKUP($T44,ASET_data[ASET_scenario],ASET_data[Location])</f>
        <v>Corridor</v>
      </c>
      <c r="V44" t="str">
        <f>_xlfn.XLOOKUP($T44,ASET_data[ASET_scenario],ASET_data[Sprinkler])</f>
        <v>Fail</v>
      </c>
      <c r="W44" t="s">
        <v>112</v>
      </c>
      <c r="X44" t="str">
        <f>ASET_lookup[[#This Row],[Location]] &amp; "-" &amp; ASET_lookup[[#This Row],[Sprinkler]] &amp; "-" &amp; ASET_lookup[[#This Row],[Door]]</f>
        <v>Corridor-Fail-Part</v>
      </c>
    </row>
    <row r="45" spans="3:24" x14ac:dyDescent="0.25">
      <c r="S45">
        <v>10</v>
      </c>
      <c r="T45" t="s">
        <v>105</v>
      </c>
      <c r="U45" t="str">
        <f>_xlfn.XLOOKUP($T45,ASET_data[ASET_scenario],ASET_data[Location])</f>
        <v>Corridor</v>
      </c>
      <c r="V45" t="str">
        <f>_xlfn.XLOOKUP($T45,ASET_data[ASET_scenario],ASET_data[Sprinkler])</f>
        <v>Control</v>
      </c>
      <c r="W45" t="s">
        <v>4</v>
      </c>
      <c r="X45" t="str">
        <f>ASET_lookup[[#This Row],[Location]] &amp; "-" &amp; ASET_lookup[[#This Row],[Sprinkler]] &amp; "-" &amp; ASET_lookup[[#This Row],[Door]]</f>
        <v>Corridor-Control-Open</v>
      </c>
    </row>
    <row r="46" spans="3:24" x14ac:dyDescent="0.25">
      <c r="S46">
        <v>11</v>
      </c>
      <c r="T46" t="s">
        <v>106</v>
      </c>
      <c r="U46" t="str">
        <f>_xlfn.XLOOKUP($T46,ASET_data[ASET_scenario],ASET_data[Location])</f>
        <v>Corridor</v>
      </c>
      <c r="V46" t="str">
        <f>_xlfn.XLOOKUP($T46,ASET_data[ASET_scenario],ASET_data[Sprinkler])</f>
        <v>Control</v>
      </c>
      <c r="W46" t="s">
        <v>111</v>
      </c>
      <c r="X46" t="str">
        <f>ASET_lookup[[#This Row],[Location]] &amp; "-" &amp; ASET_lookup[[#This Row],[Sprinkler]] &amp; "-" &amp; ASET_lookup[[#This Row],[Door]]</f>
        <v>Corridor-Control-Close</v>
      </c>
    </row>
    <row r="47" spans="3:24" x14ac:dyDescent="0.25">
      <c r="S47">
        <v>12</v>
      </c>
      <c r="T47" t="s">
        <v>15</v>
      </c>
      <c r="U47" t="str">
        <f>_xlfn.XLOOKUP($T47,ASET_data[ASET_scenario],ASET_data[Location])</f>
        <v>Corridor</v>
      </c>
      <c r="V47" t="str">
        <f>_xlfn.XLOOKUP($T47,ASET_data[ASET_scenario],ASET_data[Sprinkler])</f>
        <v>Control</v>
      </c>
      <c r="W47" t="s">
        <v>112</v>
      </c>
      <c r="X47" t="str">
        <f>ASET_lookup[[#This Row],[Location]] &amp; "-" &amp; ASET_lookup[[#This Row],[Sprinkler]] &amp; "-" &amp; ASET_lookup[[#This Row],[Door]]</f>
        <v>Corridor-Control-Part</v>
      </c>
    </row>
    <row r="48" spans="3:24" x14ac:dyDescent="0.25">
      <c r="T48" t="s">
        <v>109</v>
      </c>
      <c r="U48" t="s">
        <v>113</v>
      </c>
      <c r="V48" t="s">
        <v>3</v>
      </c>
      <c r="W48" t="s">
        <v>113</v>
      </c>
      <c r="X48" t="str">
        <f>ASET_lookup[[#This Row],[Location]] &amp; "-" &amp; ASET_lookup[[#This Row],[Sprinkler]] &amp; "-" &amp; ASET_lookup[[#This Row],[Door]]</f>
        <v>any-Extinguish-any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E9519-224D-4C67-94FB-A72263CB5138}">
  <sheetPr codeName="Sheet6"/>
  <dimension ref="A6:AF90"/>
  <sheetViews>
    <sheetView topLeftCell="A29" workbookViewId="0"/>
  </sheetViews>
  <sheetFormatPr defaultRowHeight="15" x14ac:dyDescent="0.25"/>
  <cols>
    <col min="1" max="1" width="7.5703125" bestFit="1" customWidth="1"/>
    <col min="2" max="2" width="16.5703125" bestFit="1" customWidth="1"/>
    <col min="3" max="3" width="17.5703125" bestFit="1" customWidth="1"/>
    <col min="4" max="4" width="14.5703125" bestFit="1" customWidth="1"/>
    <col min="5" max="5" width="11" bestFit="1" customWidth="1"/>
    <col min="6" max="6" width="22.85546875" bestFit="1" customWidth="1"/>
    <col min="7" max="7" width="27.28515625" bestFit="1" customWidth="1"/>
    <col min="8" max="8" width="12.5703125" customWidth="1"/>
    <col min="19" max="19" width="18" customWidth="1"/>
    <col min="20" max="20" width="10.42578125" customWidth="1"/>
    <col min="21" max="21" width="19.85546875" bestFit="1" customWidth="1"/>
    <col min="22" max="22" width="24.28515625" bestFit="1" customWidth="1"/>
    <col min="24" max="24" width="19.5703125" bestFit="1" customWidth="1"/>
    <col min="25" max="25" width="40.5703125" bestFit="1" customWidth="1"/>
    <col min="28" max="28" width="9.28515625" bestFit="1" customWidth="1"/>
    <col min="29" max="29" width="24.28515625" bestFit="1" customWidth="1"/>
    <col min="30" max="30" width="45.140625" bestFit="1" customWidth="1"/>
    <col min="31" max="31" width="9.5703125" bestFit="1" customWidth="1"/>
    <col min="32" max="32" width="12" bestFit="1" customWidth="1"/>
  </cols>
  <sheetData>
    <row r="6" spans="24:32" x14ac:dyDescent="0.25">
      <c r="X6" t="s">
        <v>39</v>
      </c>
      <c r="Y6" t="s">
        <v>37</v>
      </c>
    </row>
    <row r="7" spans="24:32" x14ac:dyDescent="0.25">
      <c r="X7" t="s">
        <v>38</v>
      </c>
      <c r="Y7" t="s">
        <v>40</v>
      </c>
    </row>
    <row r="8" spans="24:32" x14ac:dyDescent="0.25">
      <c r="X8" t="s">
        <v>41</v>
      </c>
      <c r="Y8" t="s">
        <v>42</v>
      </c>
    </row>
    <row r="9" spans="24:32" x14ac:dyDescent="0.25">
      <c r="X9" t="s">
        <v>43</v>
      </c>
      <c r="Y9" t="s">
        <v>44</v>
      </c>
    </row>
    <row r="10" spans="24:32" x14ac:dyDescent="0.25">
      <c r="X10" t="s">
        <v>45</v>
      </c>
      <c r="Y10" t="s">
        <v>47</v>
      </c>
      <c r="AE10" t="s">
        <v>46</v>
      </c>
      <c r="AF10">
        <f>SQRT((5^2+10^2))</f>
        <v>11.180339887498949</v>
      </c>
    </row>
    <row r="11" spans="24:32" x14ac:dyDescent="0.25">
      <c r="X11" t="s">
        <v>48</v>
      </c>
      <c r="Y11" t="s">
        <v>49</v>
      </c>
    </row>
    <row r="13" spans="24:32" x14ac:dyDescent="0.25">
      <c r="AD13" t="s">
        <v>69</v>
      </c>
    </row>
    <row r="14" spans="24:32" x14ac:dyDescent="0.25">
      <c r="X14" t="s">
        <v>50</v>
      </c>
      <c r="AD14" t="s">
        <v>70</v>
      </c>
    </row>
    <row r="18" spans="24:29" x14ac:dyDescent="0.25">
      <c r="X18" t="s">
        <v>90</v>
      </c>
      <c r="AB18" t="s">
        <v>89</v>
      </c>
    </row>
    <row r="19" spans="24:29" x14ac:dyDescent="0.25">
      <c r="Y19" t="s">
        <v>88</v>
      </c>
      <c r="AC19" t="s">
        <v>88</v>
      </c>
    </row>
    <row r="20" spans="24:29" x14ac:dyDescent="0.25">
      <c r="X20" t="s">
        <v>94</v>
      </c>
      <c r="Y20" t="s">
        <v>91</v>
      </c>
      <c r="AB20" t="s">
        <v>94</v>
      </c>
      <c r="AC20" t="s">
        <v>92</v>
      </c>
    </row>
    <row r="21" spans="24:29" x14ac:dyDescent="0.25">
      <c r="X21" t="s">
        <v>93</v>
      </c>
      <c r="Y21">
        <v>30</v>
      </c>
      <c r="AB21" t="s">
        <v>93</v>
      </c>
      <c r="AC21">
        <v>30</v>
      </c>
    </row>
    <row r="22" spans="24:29" x14ac:dyDescent="0.25">
      <c r="X22" t="s">
        <v>43</v>
      </c>
      <c r="Y22">
        <v>60</v>
      </c>
      <c r="AB22" t="s">
        <v>43</v>
      </c>
      <c r="AC22">
        <v>300</v>
      </c>
    </row>
    <row r="23" spans="24:29" x14ac:dyDescent="0.25">
      <c r="X23" t="s">
        <v>45</v>
      </c>
      <c r="Y23" t="s">
        <v>95</v>
      </c>
    </row>
    <row r="33" spans="1:11" x14ac:dyDescent="0.25">
      <c r="K33" t="s">
        <v>117</v>
      </c>
    </row>
    <row r="34" spans="1:11" x14ac:dyDescent="0.25">
      <c r="A34" t="s">
        <v>97</v>
      </c>
      <c r="B34" t="s">
        <v>116</v>
      </c>
      <c r="C34" t="s">
        <v>74</v>
      </c>
      <c r="D34" t="s">
        <v>119</v>
      </c>
      <c r="E34" t="s">
        <v>10</v>
      </c>
      <c r="F34" t="s">
        <v>34</v>
      </c>
      <c r="G34" t="s">
        <v>35</v>
      </c>
      <c r="H34" t="s">
        <v>120</v>
      </c>
    </row>
    <row r="35" spans="1:11" x14ac:dyDescent="0.25">
      <c r="A35">
        <v>1</v>
      </c>
      <c r="B35" t="s">
        <v>8</v>
      </c>
      <c r="C35">
        <v>6</v>
      </c>
      <c r="D35" t="str">
        <f>RSET_lookup[[#This Row],[RSET_scenario]]&amp;RSET_lookup[[#This Row],[Corridor_length]]</f>
        <v>A6</v>
      </c>
      <c r="E35" t="s">
        <v>11</v>
      </c>
      <c r="F35" t="s">
        <v>1</v>
      </c>
      <c r="G35" t="s">
        <v>1</v>
      </c>
      <c r="H35" t="str">
        <f>RSET_lookup[[#This Row],[Location]]&amp;RSET_lookup[[#This Row],[Corridor_length]]</f>
        <v>Apartment6</v>
      </c>
    </row>
    <row r="36" spans="1:11" x14ac:dyDescent="0.25">
      <c r="A36">
        <v>2</v>
      </c>
      <c r="B36" t="s">
        <v>8</v>
      </c>
      <c r="C36">
        <v>10</v>
      </c>
      <c r="D36" t="str">
        <f>RSET_lookup[[#This Row],[RSET_scenario]]&amp;RSET_lookup[[#This Row],[Corridor_length]]</f>
        <v>A10</v>
      </c>
      <c r="E36" t="s">
        <v>11</v>
      </c>
      <c r="F36" t="s">
        <v>1</v>
      </c>
      <c r="G36" t="s">
        <v>1</v>
      </c>
      <c r="H36" t="str">
        <f>RSET_lookup[[#This Row],[Location]]&amp;RSET_lookup[[#This Row],[Corridor_length]]</f>
        <v>Apartment10</v>
      </c>
    </row>
    <row r="37" spans="1:11" x14ac:dyDescent="0.25">
      <c r="A37">
        <v>3</v>
      </c>
      <c r="B37" t="s">
        <v>8</v>
      </c>
      <c r="C37">
        <v>14</v>
      </c>
      <c r="D37" t="str">
        <f>RSET_lookup[[#This Row],[RSET_scenario]]&amp;RSET_lookup[[#This Row],[Corridor_length]]</f>
        <v>A14</v>
      </c>
      <c r="E37" t="s">
        <v>11</v>
      </c>
      <c r="F37" t="s">
        <v>1</v>
      </c>
      <c r="G37" t="s">
        <v>1</v>
      </c>
      <c r="H37" t="str">
        <f>RSET_lookup[[#This Row],[Location]]&amp;RSET_lookup[[#This Row],[Corridor_length]]</f>
        <v>Apartment14</v>
      </c>
    </row>
    <row r="38" spans="1:11" x14ac:dyDescent="0.25">
      <c r="A38">
        <v>4</v>
      </c>
      <c r="B38" t="s">
        <v>8</v>
      </c>
      <c r="C38">
        <v>18</v>
      </c>
      <c r="D38" t="str">
        <f>RSET_lookup[[#This Row],[RSET_scenario]]&amp;RSET_lookup[[#This Row],[Corridor_length]]</f>
        <v>A18</v>
      </c>
      <c r="E38" t="s">
        <v>11</v>
      </c>
      <c r="F38" t="s">
        <v>1</v>
      </c>
      <c r="G38" t="s">
        <v>1</v>
      </c>
      <c r="H38" t="str">
        <f>RSET_lookup[[#This Row],[Location]]&amp;RSET_lookup[[#This Row],[Corridor_length]]</f>
        <v>Apartment18</v>
      </c>
    </row>
    <row r="39" spans="1:11" x14ac:dyDescent="0.25">
      <c r="A39">
        <v>5</v>
      </c>
      <c r="B39" t="s">
        <v>8</v>
      </c>
      <c r="C39">
        <v>22</v>
      </c>
      <c r="D39" t="str">
        <f>RSET_lookup[[#This Row],[RSET_scenario]]&amp;RSET_lookup[[#This Row],[Corridor_length]]</f>
        <v>A22</v>
      </c>
      <c r="E39" t="s">
        <v>11</v>
      </c>
      <c r="F39" t="s">
        <v>1</v>
      </c>
      <c r="G39" t="s">
        <v>1</v>
      </c>
      <c r="H39" t="str">
        <f>RSET_lookup[[#This Row],[Location]]&amp;RSET_lookup[[#This Row],[Corridor_length]]</f>
        <v>Apartment22</v>
      </c>
    </row>
    <row r="40" spans="1:11" x14ac:dyDescent="0.25">
      <c r="A40">
        <v>6</v>
      </c>
      <c r="B40" t="s">
        <v>8</v>
      </c>
      <c r="C40">
        <v>26</v>
      </c>
      <c r="D40" t="str">
        <f>RSET_lookup[[#This Row],[RSET_scenario]]&amp;RSET_lookup[[#This Row],[Corridor_length]]</f>
        <v>A26</v>
      </c>
      <c r="E40" t="s">
        <v>11</v>
      </c>
      <c r="F40" t="s">
        <v>1</v>
      </c>
      <c r="G40" t="s">
        <v>1</v>
      </c>
      <c r="H40" t="str">
        <f>RSET_lookup[[#This Row],[Location]]&amp;RSET_lookup[[#This Row],[Corridor_length]]</f>
        <v>Apartment26</v>
      </c>
    </row>
    <row r="41" spans="1:11" x14ac:dyDescent="0.25">
      <c r="A41">
        <v>7</v>
      </c>
      <c r="B41" t="s">
        <v>8</v>
      </c>
      <c r="C41">
        <v>30</v>
      </c>
      <c r="D41" t="str">
        <f>RSET_lookup[[#This Row],[RSET_scenario]]&amp;RSET_lookup[[#This Row],[Corridor_length]]</f>
        <v>A30</v>
      </c>
      <c r="E41" t="s">
        <v>11</v>
      </c>
      <c r="F41" t="s">
        <v>1</v>
      </c>
      <c r="G41" t="s">
        <v>1</v>
      </c>
      <c r="H41" t="str">
        <f>RSET_lookup[[#This Row],[Location]]&amp;RSET_lookup[[#This Row],[Corridor_length]]</f>
        <v>Apartment30</v>
      </c>
    </row>
    <row r="42" spans="1:11" x14ac:dyDescent="0.25">
      <c r="A42">
        <v>8</v>
      </c>
      <c r="B42" t="s">
        <v>98</v>
      </c>
      <c r="C42">
        <v>6</v>
      </c>
      <c r="D42" t="str">
        <f>RSET_lookup[[#This Row],[RSET_scenario]]&amp;RSET_lookup[[#This Row],[Corridor_length]]</f>
        <v>B6</v>
      </c>
      <c r="E42" t="s">
        <v>11</v>
      </c>
      <c r="F42" t="s">
        <v>1</v>
      </c>
      <c r="G42" t="s">
        <v>2</v>
      </c>
      <c r="H42" t="str">
        <f>RSET_lookup[[#This Row],[Location]]&amp;RSET_lookup[[#This Row],[Corridor_length]]</f>
        <v>Apartment6</v>
      </c>
    </row>
    <row r="43" spans="1:11" x14ac:dyDescent="0.25">
      <c r="A43">
        <v>9</v>
      </c>
      <c r="B43" t="s">
        <v>98</v>
      </c>
      <c r="C43">
        <v>10</v>
      </c>
      <c r="D43" t="str">
        <f>RSET_lookup[[#This Row],[RSET_scenario]]&amp;RSET_lookup[[#This Row],[Corridor_length]]</f>
        <v>B10</v>
      </c>
      <c r="E43" t="s">
        <v>11</v>
      </c>
      <c r="F43" t="s">
        <v>1</v>
      </c>
      <c r="G43" t="s">
        <v>2</v>
      </c>
      <c r="H43" t="str">
        <f>RSET_lookup[[#This Row],[Location]]&amp;RSET_lookup[[#This Row],[Corridor_length]]</f>
        <v>Apartment10</v>
      </c>
    </row>
    <row r="44" spans="1:11" x14ac:dyDescent="0.25">
      <c r="A44">
        <v>10</v>
      </c>
      <c r="B44" t="s">
        <v>98</v>
      </c>
      <c r="C44">
        <v>14</v>
      </c>
      <c r="D44" t="str">
        <f>RSET_lookup[[#This Row],[RSET_scenario]]&amp;RSET_lookup[[#This Row],[Corridor_length]]</f>
        <v>B14</v>
      </c>
      <c r="E44" t="s">
        <v>11</v>
      </c>
      <c r="F44" t="s">
        <v>1</v>
      </c>
      <c r="G44" t="s">
        <v>2</v>
      </c>
      <c r="H44" t="str">
        <f>RSET_lookup[[#This Row],[Location]]&amp;RSET_lookup[[#This Row],[Corridor_length]]</f>
        <v>Apartment14</v>
      </c>
    </row>
    <row r="45" spans="1:11" x14ac:dyDescent="0.25">
      <c r="A45">
        <v>11</v>
      </c>
      <c r="B45" t="s">
        <v>98</v>
      </c>
      <c r="C45">
        <v>18</v>
      </c>
      <c r="D45" t="str">
        <f>RSET_lookup[[#This Row],[RSET_scenario]]&amp;RSET_lookup[[#This Row],[Corridor_length]]</f>
        <v>B18</v>
      </c>
      <c r="E45" t="s">
        <v>11</v>
      </c>
      <c r="F45" t="s">
        <v>1</v>
      </c>
      <c r="G45" t="s">
        <v>2</v>
      </c>
      <c r="H45" t="str">
        <f>RSET_lookup[[#This Row],[Location]]&amp;RSET_lookup[[#This Row],[Corridor_length]]</f>
        <v>Apartment18</v>
      </c>
    </row>
    <row r="46" spans="1:11" x14ac:dyDescent="0.25">
      <c r="A46">
        <v>12</v>
      </c>
      <c r="B46" t="s">
        <v>98</v>
      </c>
      <c r="C46">
        <v>22</v>
      </c>
      <c r="D46" t="str">
        <f>RSET_lookup[[#This Row],[RSET_scenario]]&amp;RSET_lookup[[#This Row],[Corridor_length]]</f>
        <v>B22</v>
      </c>
      <c r="E46" t="s">
        <v>11</v>
      </c>
      <c r="F46" t="s">
        <v>1</v>
      </c>
      <c r="G46" t="s">
        <v>2</v>
      </c>
      <c r="H46" t="str">
        <f>RSET_lookup[[#This Row],[Location]]&amp;RSET_lookup[[#This Row],[Corridor_length]]</f>
        <v>Apartment22</v>
      </c>
    </row>
    <row r="47" spans="1:11" x14ac:dyDescent="0.25">
      <c r="A47">
        <v>13</v>
      </c>
      <c r="B47" t="s">
        <v>98</v>
      </c>
      <c r="C47">
        <v>26</v>
      </c>
      <c r="D47" t="str">
        <f>RSET_lookup[[#This Row],[RSET_scenario]]&amp;RSET_lookup[[#This Row],[Corridor_length]]</f>
        <v>B26</v>
      </c>
      <c r="E47" t="s">
        <v>11</v>
      </c>
      <c r="F47" t="s">
        <v>1</v>
      </c>
      <c r="G47" t="s">
        <v>2</v>
      </c>
      <c r="H47" t="str">
        <f>RSET_lookup[[#This Row],[Location]]&amp;RSET_lookup[[#This Row],[Corridor_length]]</f>
        <v>Apartment26</v>
      </c>
    </row>
    <row r="48" spans="1:11" x14ac:dyDescent="0.25">
      <c r="A48">
        <v>14</v>
      </c>
      <c r="B48" t="s">
        <v>98</v>
      </c>
      <c r="C48">
        <v>30</v>
      </c>
      <c r="D48" t="str">
        <f>RSET_lookup[[#This Row],[RSET_scenario]]&amp;RSET_lookup[[#This Row],[Corridor_length]]</f>
        <v>B30</v>
      </c>
      <c r="E48" t="s">
        <v>11</v>
      </c>
      <c r="F48" t="s">
        <v>1</v>
      </c>
      <c r="G48" t="s">
        <v>2</v>
      </c>
      <c r="H48" t="str">
        <f>RSET_lookup[[#This Row],[Location]]&amp;RSET_lookup[[#This Row],[Corridor_length]]</f>
        <v>Apartment30</v>
      </c>
    </row>
    <row r="49" spans="1:8" x14ac:dyDescent="0.25">
      <c r="A49">
        <v>15</v>
      </c>
      <c r="B49" t="s">
        <v>99</v>
      </c>
      <c r="C49">
        <v>6</v>
      </c>
      <c r="D49" t="str">
        <f>RSET_lookup[[#This Row],[RSET_scenario]]&amp;RSET_lookup[[#This Row],[Corridor_length]]</f>
        <v>C6</v>
      </c>
      <c r="E49" t="s">
        <v>11</v>
      </c>
      <c r="F49" t="s">
        <v>2</v>
      </c>
      <c r="G49" t="s">
        <v>1</v>
      </c>
      <c r="H49" t="str">
        <f>RSET_lookup[[#This Row],[Location]]&amp;RSET_lookup[[#This Row],[Corridor_length]]</f>
        <v>Apartment6</v>
      </c>
    </row>
    <row r="50" spans="1:8" x14ac:dyDescent="0.25">
      <c r="A50">
        <v>16</v>
      </c>
      <c r="B50" t="s">
        <v>99</v>
      </c>
      <c r="C50">
        <v>10</v>
      </c>
      <c r="D50" t="str">
        <f>RSET_lookup[[#This Row],[RSET_scenario]]&amp;RSET_lookup[[#This Row],[Corridor_length]]</f>
        <v>C10</v>
      </c>
      <c r="E50" t="s">
        <v>11</v>
      </c>
      <c r="F50" t="s">
        <v>2</v>
      </c>
      <c r="G50" t="s">
        <v>1</v>
      </c>
      <c r="H50" t="str">
        <f>RSET_lookup[[#This Row],[Location]]&amp;RSET_lookup[[#This Row],[Corridor_length]]</f>
        <v>Apartment10</v>
      </c>
    </row>
    <row r="51" spans="1:8" x14ac:dyDescent="0.25">
      <c r="A51">
        <v>17</v>
      </c>
      <c r="B51" t="s">
        <v>99</v>
      </c>
      <c r="C51">
        <v>14</v>
      </c>
      <c r="D51" t="str">
        <f>RSET_lookup[[#This Row],[RSET_scenario]]&amp;RSET_lookup[[#This Row],[Corridor_length]]</f>
        <v>C14</v>
      </c>
      <c r="E51" t="s">
        <v>11</v>
      </c>
      <c r="F51" t="s">
        <v>2</v>
      </c>
      <c r="G51" t="s">
        <v>1</v>
      </c>
      <c r="H51" t="str">
        <f>RSET_lookup[[#This Row],[Location]]&amp;RSET_lookup[[#This Row],[Corridor_length]]</f>
        <v>Apartment14</v>
      </c>
    </row>
    <row r="52" spans="1:8" x14ac:dyDescent="0.25">
      <c r="A52">
        <v>18</v>
      </c>
      <c r="B52" t="s">
        <v>99</v>
      </c>
      <c r="C52">
        <v>18</v>
      </c>
      <c r="D52" t="str">
        <f>RSET_lookup[[#This Row],[RSET_scenario]]&amp;RSET_lookup[[#This Row],[Corridor_length]]</f>
        <v>C18</v>
      </c>
      <c r="E52" t="s">
        <v>11</v>
      </c>
      <c r="F52" t="s">
        <v>2</v>
      </c>
      <c r="G52" t="s">
        <v>1</v>
      </c>
      <c r="H52" t="str">
        <f>RSET_lookup[[#This Row],[Location]]&amp;RSET_lookup[[#This Row],[Corridor_length]]</f>
        <v>Apartment18</v>
      </c>
    </row>
    <row r="53" spans="1:8" x14ac:dyDescent="0.25">
      <c r="A53">
        <v>19</v>
      </c>
      <c r="B53" t="s">
        <v>99</v>
      </c>
      <c r="C53">
        <v>22</v>
      </c>
      <c r="D53" t="str">
        <f>RSET_lookup[[#This Row],[RSET_scenario]]&amp;RSET_lookup[[#This Row],[Corridor_length]]</f>
        <v>C22</v>
      </c>
      <c r="E53" t="s">
        <v>11</v>
      </c>
      <c r="F53" t="s">
        <v>2</v>
      </c>
      <c r="G53" t="s">
        <v>1</v>
      </c>
      <c r="H53" t="str">
        <f>RSET_lookup[[#This Row],[Location]]&amp;RSET_lookup[[#This Row],[Corridor_length]]</f>
        <v>Apartment22</v>
      </c>
    </row>
    <row r="54" spans="1:8" x14ac:dyDescent="0.25">
      <c r="A54">
        <v>20</v>
      </c>
      <c r="B54" t="s">
        <v>99</v>
      </c>
      <c r="C54">
        <v>26</v>
      </c>
      <c r="D54" t="str">
        <f>RSET_lookup[[#This Row],[RSET_scenario]]&amp;RSET_lookup[[#This Row],[Corridor_length]]</f>
        <v>C26</v>
      </c>
      <c r="E54" t="s">
        <v>11</v>
      </c>
      <c r="F54" t="s">
        <v>2</v>
      </c>
      <c r="G54" t="s">
        <v>1</v>
      </c>
      <c r="H54" t="str">
        <f>RSET_lookup[[#This Row],[Location]]&amp;RSET_lookup[[#This Row],[Corridor_length]]</f>
        <v>Apartment26</v>
      </c>
    </row>
    <row r="55" spans="1:8" x14ac:dyDescent="0.25">
      <c r="A55">
        <v>21</v>
      </c>
      <c r="B55" t="s">
        <v>99</v>
      </c>
      <c r="C55">
        <v>30</v>
      </c>
      <c r="D55" t="str">
        <f>RSET_lookup[[#This Row],[RSET_scenario]]&amp;RSET_lookup[[#This Row],[Corridor_length]]</f>
        <v>C30</v>
      </c>
      <c r="E55" t="s">
        <v>11</v>
      </c>
      <c r="F55" t="s">
        <v>2</v>
      </c>
      <c r="G55" t="s">
        <v>1</v>
      </c>
      <c r="H55" t="str">
        <f>RSET_lookup[[#This Row],[Location]]&amp;RSET_lookup[[#This Row],[Corridor_length]]</f>
        <v>Apartment30</v>
      </c>
    </row>
    <row r="56" spans="1:8" x14ac:dyDescent="0.25">
      <c r="A56">
        <v>22</v>
      </c>
      <c r="B56" t="s">
        <v>100</v>
      </c>
      <c r="C56">
        <v>6</v>
      </c>
      <c r="D56" t="str">
        <f>RSET_lookup[[#This Row],[RSET_scenario]]&amp;RSET_lookup[[#This Row],[Corridor_length]]</f>
        <v>D6</v>
      </c>
      <c r="E56" t="s">
        <v>11</v>
      </c>
      <c r="F56" t="s">
        <v>2</v>
      </c>
      <c r="G56" t="s">
        <v>2</v>
      </c>
      <c r="H56" t="str">
        <f>RSET_lookup[[#This Row],[Location]]&amp;RSET_lookup[[#This Row],[Corridor_length]]</f>
        <v>Apartment6</v>
      </c>
    </row>
    <row r="57" spans="1:8" x14ac:dyDescent="0.25">
      <c r="A57">
        <v>23</v>
      </c>
      <c r="B57" t="s">
        <v>100</v>
      </c>
      <c r="C57">
        <v>10</v>
      </c>
      <c r="D57" t="str">
        <f>RSET_lookup[[#This Row],[RSET_scenario]]&amp;RSET_lookup[[#This Row],[Corridor_length]]</f>
        <v>D10</v>
      </c>
      <c r="E57" t="s">
        <v>11</v>
      </c>
      <c r="F57" t="s">
        <v>2</v>
      </c>
      <c r="G57" t="s">
        <v>2</v>
      </c>
      <c r="H57" t="str">
        <f>RSET_lookup[[#This Row],[Location]]&amp;RSET_lookup[[#This Row],[Corridor_length]]</f>
        <v>Apartment10</v>
      </c>
    </row>
    <row r="58" spans="1:8" x14ac:dyDescent="0.25">
      <c r="A58">
        <v>24</v>
      </c>
      <c r="B58" t="s">
        <v>100</v>
      </c>
      <c r="C58">
        <v>14</v>
      </c>
      <c r="D58" t="str">
        <f>RSET_lookup[[#This Row],[RSET_scenario]]&amp;RSET_lookup[[#This Row],[Corridor_length]]</f>
        <v>D14</v>
      </c>
      <c r="E58" t="s">
        <v>11</v>
      </c>
      <c r="F58" t="s">
        <v>2</v>
      </c>
      <c r="G58" t="s">
        <v>2</v>
      </c>
      <c r="H58" t="str">
        <f>RSET_lookup[[#This Row],[Location]]&amp;RSET_lookup[[#This Row],[Corridor_length]]</f>
        <v>Apartment14</v>
      </c>
    </row>
    <row r="59" spans="1:8" x14ac:dyDescent="0.25">
      <c r="A59">
        <v>25</v>
      </c>
      <c r="B59" t="s">
        <v>100</v>
      </c>
      <c r="C59">
        <v>18</v>
      </c>
      <c r="D59" t="str">
        <f>RSET_lookup[[#This Row],[RSET_scenario]]&amp;RSET_lookup[[#This Row],[Corridor_length]]</f>
        <v>D18</v>
      </c>
      <c r="E59" t="s">
        <v>11</v>
      </c>
      <c r="F59" t="s">
        <v>2</v>
      </c>
      <c r="G59" t="s">
        <v>2</v>
      </c>
      <c r="H59" t="str">
        <f>RSET_lookup[[#This Row],[Location]]&amp;RSET_lookup[[#This Row],[Corridor_length]]</f>
        <v>Apartment18</v>
      </c>
    </row>
    <row r="60" spans="1:8" x14ac:dyDescent="0.25">
      <c r="A60">
        <v>26</v>
      </c>
      <c r="B60" t="s">
        <v>100</v>
      </c>
      <c r="C60">
        <v>22</v>
      </c>
      <c r="D60" t="str">
        <f>RSET_lookup[[#This Row],[RSET_scenario]]&amp;RSET_lookup[[#This Row],[Corridor_length]]</f>
        <v>D22</v>
      </c>
      <c r="E60" t="s">
        <v>11</v>
      </c>
      <c r="F60" t="s">
        <v>2</v>
      </c>
      <c r="G60" t="s">
        <v>2</v>
      </c>
      <c r="H60" t="str">
        <f>RSET_lookup[[#This Row],[Location]]&amp;RSET_lookup[[#This Row],[Corridor_length]]</f>
        <v>Apartment22</v>
      </c>
    </row>
    <row r="61" spans="1:8" x14ac:dyDescent="0.25">
      <c r="A61">
        <v>27</v>
      </c>
      <c r="B61" t="s">
        <v>100</v>
      </c>
      <c r="C61">
        <v>26</v>
      </c>
      <c r="D61" t="str">
        <f>RSET_lookup[[#This Row],[RSET_scenario]]&amp;RSET_lookup[[#This Row],[Corridor_length]]</f>
        <v>D26</v>
      </c>
      <c r="E61" t="s">
        <v>11</v>
      </c>
      <c r="F61" t="s">
        <v>2</v>
      </c>
      <c r="G61" t="s">
        <v>2</v>
      </c>
      <c r="H61" t="str">
        <f>RSET_lookup[[#This Row],[Location]]&amp;RSET_lookup[[#This Row],[Corridor_length]]</f>
        <v>Apartment26</v>
      </c>
    </row>
    <row r="62" spans="1:8" x14ac:dyDescent="0.25">
      <c r="A62">
        <v>28</v>
      </c>
      <c r="B62" t="s">
        <v>100</v>
      </c>
      <c r="C62">
        <v>30</v>
      </c>
      <c r="D62" t="str">
        <f>RSET_lookup[[#This Row],[RSET_scenario]]&amp;RSET_lookup[[#This Row],[Corridor_length]]</f>
        <v>D30</v>
      </c>
      <c r="E62" t="s">
        <v>11</v>
      </c>
      <c r="F62" t="s">
        <v>2</v>
      </c>
      <c r="G62" t="s">
        <v>2</v>
      </c>
      <c r="H62" t="str">
        <f>RSET_lookup[[#This Row],[Location]]&amp;RSET_lookup[[#This Row],[Corridor_length]]</f>
        <v>Apartment30</v>
      </c>
    </row>
    <row r="63" spans="1:8" x14ac:dyDescent="0.25">
      <c r="A63">
        <v>29</v>
      </c>
      <c r="B63" t="s">
        <v>101</v>
      </c>
      <c r="C63">
        <v>6</v>
      </c>
      <c r="D63" t="str">
        <f>RSET_lookup[[#This Row],[RSET_scenario]]&amp;RSET_lookup[[#This Row],[Corridor_length]]</f>
        <v>E6</v>
      </c>
      <c r="E63" t="s">
        <v>12</v>
      </c>
      <c r="F63" t="s">
        <v>1</v>
      </c>
      <c r="G63" t="s">
        <v>1</v>
      </c>
      <c r="H63" t="str">
        <f>RSET_lookup[[#This Row],[Location]]&amp;RSET_lookup[[#This Row],[Corridor_length]]</f>
        <v>Corridor6</v>
      </c>
    </row>
    <row r="64" spans="1:8" x14ac:dyDescent="0.25">
      <c r="A64">
        <v>30</v>
      </c>
      <c r="B64" t="s">
        <v>101</v>
      </c>
      <c r="C64">
        <v>10</v>
      </c>
      <c r="D64" t="str">
        <f>RSET_lookup[[#This Row],[RSET_scenario]]&amp;RSET_lookup[[#This Row],[Corridor_length]]</f>
        <v>E10</v>
      </c>
      <c r="E64" t="s">
        <v>12</v>
      </c>
      <c r="F64" t="s">
        <v>1</v>
      </c>
      <c r="G64" t="s">
        <v>1</v>
      </c>
      <c r="H64" t="str">
        <f>RSET_lookup[[#This Row],[Location]]&amp;RSET_lookup[[#This Row],[Corridor_length]]</f>
        <v>Corridor10</v>
      </c>
    </row>
    <row r="65" spans="1:8" x14ac:dyDescent="0.25">
      <c r="A65">
        <v>31</v>
      </c>
      <c r="B65" t="s">
        <v>101</v>
      </c>
      <c r="C65">
        <v>14</v>
      </c>
      <c r="D65" t="str">
        <f>RSET_lookup[[#This Row],[RSET_scenario]]&amp;RSET_lookup[[#This Row],[Corridor_length]]</f>
        <v>E14</v>
      </c>
      <c r="E65" t="s">
        <v>12</v>
      </c>
      <c r="F65" t="s">
        <v>1</v>
      </c>
      <c r="G65" t="s">
        <v>1</v>
      </c>
      <c r="H65" t="str">
        <f>RSET_lookup[[#This Row],[Location]]&amp;RSET_lookup[[#This Row],[Corridor_length]]</f>
        <v>Corridor14</v>
      </c>
    </row>
    <row r="66" spans="1:8" x14ac:dyDescent="0.25">
      <c r="A66">
        <v>32</v>
      </c>
      <c r="B66" t="s">
        <v>101</v>
      </c>
      <c r="C66">
        <v>18</v>
      </c>
      <c r="D66" t="str">
        <f>RSET_lookup[[#This Row],[RSET_scenario]]&amp;RSET_lookup[[#This Row],[Corridor_length]]</f>
        <v>E18</v>
      </c>
      <c r="E66" t="s">
        <v>12</v>
      </c>
      <c r="F66" t="s">
        <v>1</v>
      </c>
      <c r="G66" t="s">
        <v>1</v>
      </c>
      <c r="H66" t="str">
        <f>RSET_lookup[[#This Row],[Location]]&amp;RSET_lookup[[#This Row],[Corridor_length]]</f>
        <v>Corridor18</v>
      </c>
    </row>
    <row r="67" spans="1:8" x14ac:dyDescent="0.25">
      <c r="A67">
        <v>33</v>
      </c>
      <c r="B67" t="s">
        <v>101</v>
      </c>
      <c r="C67">
        <v>22</v>
      </c>
      <c r="D67" t="str">
        <f>RSET_lookup[[#This Row],[RSET_scenario]]&amp;RSET_lookup[[#This Row],[Corridor_length]]</f>
        <v>E22</v>
      </c>
      <c r="E67" t="s">
        <v>12</v>
      </c>
      <c r="F67" t="s">
        <v>1</v>
      </c>
      <c r="G67" t="s">
        <v>1</v>
      </c>
      <c r="H67" t="str">
        <f>RSET_lookup[[#This Row],[Location]]&amp;RSET_lookup[[#This Row],[Corridor_length]]</f>
        <v>Corridor22</v>
      </c>
    </row>
    <row r="68" spans="1:8" x14ac:dyDescent="0.25">
      <c r="A68">
        <v>34</v>
      </c>
      <c r="B68" t="s">
        <v>101</v>
      </c>
      <c r="C68">
        <v>26</v>
      </c>
      <c r="D68" t="str">
        <f>RSET_lookup[[#This Row],[RSET_scenario]]&amp;RSET_lookup[[#This Row],[Corridor_length]]</f>
        <v>E26</v>
      </c>
      <c r="E68" t="s">
        <v>12</v>
      </c>
      <c r="F68" t="s">
        <v>1</v>
      </c>
      <c r="G68" t="s">
        <v>1</v>
      </c>
      <c r="H68" t="str">
        <f>RSET_lookup[[#This Row],[Location]]&amp;RSET_lookup[[#This Row],[Corridor_length]]</f>
        <v>Corridor26</v>
      </c>
    </row>
    <row r="69" spans="1:8" x14ac:dyDescent="0.25">
      <c r="A69">
        <v>35</v>
      </c>
      <c r="B69" t="s">
        <v>101</v>
      </c>
      <c r="C69">
        <v>30</v>
      </c>
      <c r="D69" t="str">
        <f>RSET_lookup[[#This Row],[RSET_scenario]]&amp;RSET_lookup[[#This Row],[Corridor_length]]</f>
        <v>E30</v>
      </c>
      <c r="E69" t="s">
        <v>12</v>
      </c>
      <c r="F69" t="s">
        <v>1</v>
      </c>
      <c r="G69" t="s">
        <v>1</v>
      </c>
      <c r="H69" t="str">
        <f>RSET_lookup[[#This Row],[Location]]&amp;RSET_lookup[[#This Row],[Corridor_length]]</f>
        <v>Corridor30</v>
      </c>
    </row>
    <row r="70" spans="1:8" x14ac:dyDescent="0.25">
      <c r="A70">
        <v>36</v>
      </c>
      <c r="B70" t="s">
        <v>102</v>
      </c>
      <c r="C70">
        <v>6</v>
      </c>
      <c r="D70" t="str">
        <f>RSET_lookup[[#This Row],[RSET_scenario]]&amp;RSET_lookup[[#This Row],[Corridor_length]]</f>
        <v>F6</v>
      </c>
      <c r="E70" t="s">
        <v>12</v>
      </c>
      <c r="F70" t="s">
        <v>1</v>
      </c>
      <c r="G70" t="s">
        <v>2</v>
      </c>
      <c r="H70" t="str">
        <f>RSET_lookup[[#This Row],[Location]]&amp;RSET_lookup[[#This Row],[Corridor_length]]</f>
        <v>Corridor6</v>
      </c>
    </row>
    <row r="71" spans="1:8" x14ac:dyDescent="0.25">
      <c r="A71">
        <v>37</v>
      </c>
      <c r="B71" t="s">
        <v>102</v>
      </c>
      <c r="C71">
        <v>10</v>
      </c>
      <c r="D71" t="str">
        <f>RSET_lookup[[#This Row],[RSET_scenario]]&amp;RSET_lookup[[#This Row],[Corridor_length]]</f>
        <v>F10</v>
      </c>
      <c r="E71" t="s">
        <v>12</v>
      </c>
      <c r="F71" t="s">
        <v>1</v>
      </c>
      <c r="G71" t="s">
        <v>2</v>
      </c>
      <c r="H71" t="str">
        <f>RSET_lookup[[#This Row],[Location]]&amp;RSET_lookup[[#This Row],[Corridor_length]]</f>
        <v>Corridor10</v>
      </c>
    </row>
    <row r="72" spans="1:8" x14ac:dyDescent="0.25">
      <c r="A72">
        <v>38</v>
      </c>
      <c r="B72" t="s">
        <v>102</v>
      </c>
      <c r="C72">
        <v>14</v>
      </c>
      <c r="D72" t="str">
        <f>RSET_lookup[[#This Row],[RSET_scenario]]&amp;RSET_lookup[[#This Row],[Corridor_length]]</f>
        <v>F14</v>
      </c>
      <c r="E72" t="s">
        <v>12</v>
      </c>
      <c r="F72" t="s">
        <v>1</v>
      </c>
      <c r="G72" t="s">
        <v>2</v>
      </c>
      <c r="H72" t="str">
        <f>RSET_lookup[[#This Row],[Location]]&amp;RSET_lookup[[#This Row],[Corridor_length]]</f>
        <v>Corridor14</v>
      </c>
    </row>
    <row r="73" spans="1:8" x14ac:dyDescent="0.25">
      <c r="A73">
        <v>39</v>
      </c>
      <c r="B73" t="s">
        <v>102</v>
      </c>
      <c r="C73">
        <v>18</v>
      </c>
      <c r="D73" t="str">
        <f>RSET_lookup[[#This Row],[RSET_scenario]]&amp;RSET_lookup[[#This Row],[Corridor_length]]</f>
        <v>F18</v>
      </c>
      <c r="E73" t="s">
        <v>12</v>
      </c>
      <c r="F73" t="s">
        <v>1</v>
      </c>
      <c r="G73" t="s">
        <v>2</v>
      </c>
      <c r="H73" t="str">
        <f>RSET_lookup[[#This Row],[Location]]&amp;RSET_lookup[[#This Row],[Corridor_length]]</f>
        <v>Corridor18</v>
      </c>
    </row>
    <row r="74" spans="1:8" x14ac:dyDescent="0.25">
      <c r="A74">
        <v>40</v>
      </c>
      <c r="B74" t="s">
        <v>102</v>
      </c>
      <c r="C74">
        <v>22</v>
      </c>
      <c r="D74" t="str">
        <f>RSET_lookup[[#This Row],[RSET_scenario]]&amp;RSET_lookup[[#This Row],[Corridor_length]]</f>
        <v>F22</v>
      </c>
      <c r="E74" t="s">
        <v>12</v>
      </c>
      <c r="F74" t="s">
        <v>1</v>
      </c>
      <c r="G74" t="s">
        <v>2</v>
      </c>
      <c r="H74" t="str">
        <f>RSET_lookup[[#This Row],[Location]]&amp;RSET_lookup[[#This Row],[Corridor_length]]</f>
        <v>Corridor22</v>
      </c>
    </row>
    <row r="75" spans="1:8" x14ac:dyDescent="0.25">
      <c r="A75">
        <v>41</v>
      </c>
      <c r="B75" t="s">
        <v>102</v>
      </c>
      <c r="C75">
        <v>26</v>
      </c>
      <c r="D75" t="str">
        <f>RSET_lookup[[#This Row],[RSET_scenario]]&amp;RSET_lookup[[#This Row],[Corridor_length]]</f>
        <v>F26</v>
      </c>
      <c r="E75" t="s">
        <v>12</v>
      </c>
      <c r="F75" t="s">
        <v>1</v>
      </c>
      <c r="G75" t="s">
        <v>2</v>
      </c>
      <c r="H75" t="str">
        <f>RSET_lookup[[#This Row],[Location]]&amp;RSET_lookup[[#This Row],[Corridor_length]]</f>
        <v>Corridor26</v>
      </c>
    </row>
    <row r="76" spans="1:8" x14ac:dyDescent="0.25">
      <c r="A76">
        <v>42</v>
      </c>
      <c r="B76" t="s">
        <v>102</v>
      </c>
      <c r="C76">
        <v>30</v>
      </c>
      <c r="D76" t="str">
        <f>RSET_lookup[[#This Row],[RSET_scenario]]&amp;RSET_lookup[[#This Row],[Corridor_length]]</f>
        <v>F30</v>
      </c>
      <c r="E76" t="s">
        <v>12</v>
      </c>
      <c r="F76" t="s">
        <v>1</v>
      </c>
      <c r="G76" t="s">
        <v>2</v>
      </c>
      <c r="H76" t="str">
        <f>RSET_lookup[[#This Row],[Location]]&amp;RSET_lookup[[#This Row],[Corridor_length]]</f>
        <v>Corridor30</v>
      </c>
    </row>
    <row r="77" spans="1:8" x14ac:dyDescent="0.25">
      <c r="A77">
        <v>43</v>
      </c>
      <c r="B77" t="s">
        <v>103</v>
      </c>
      <c r="C77">
        <v>6</v>
      </c>
      <c r="D77" t="str">
        <f>RSET_lookup[[#This Row],[RSET_scenario]]&amp;RSET_lookup[[#This Row],[Corridor_length]]</f>
        <v>G6</v>
      </c>
      <c r="E77" t="s">
        <v>12</v>
      </c>
      <c r="F77" t="s">
        <v>2</v>
      </c>
      <c r="G77" t="s">
        <v>1</v>
      </c>
      <c r="H77" t="str">
        <f>RSET_lookup[[#This Row],[Location]]&amp;RSET_lookup[[#This Row],[Corridor_length]]</f>
        <v>Corridor6</v>
      </c>
    </row>
    <row r="78" spans="1:8" x14ac:dyDescent="0.25">
      <c r="A78">
        <v>44</v>
      </c>
      <c r="B78" t="s">
        <v>103</v>
      </c>
      <c r="C78">
        <v>10</v>
      </c>
      <c r="D78" t="str">
        <f>RSET_lookup[[#This Row],[RSET_scenario]]&amp;RSET_lookup[[#This Row],[Corridor_length]]</f>
        <v>G10</v>
      </c>
      <c r="E78" t="s">
        <v>12</v>
      </c>
      <c r="F78" t="s">
        <v>2</v>
      </c>
      <c r="G78" t="s">
        <v>1</v>
      </c>
      <c r="H78" t="str">
        <f>RSET_lookup[[#This Row],[Location]]&amp;RSET_lookup[[#This Row],[Corridor_length]]</f>
        <v>Corridor10</v>
      </c>
    </row>
    <row r="79" spans="1:8" x14ac:dyDescent="0.25">
      <c r="A79">
        <v>45</v>
      </c>
      <c r="B79" t="s">
        <v>103</v>
      </c>
      <c r="C79">
        <v>14</v>
      </c>
      <c r="D79" t="str">
        <f>RSET_lookup[[#This Row],[RSET_scenario]]&amp;RSET_lookup[[#This Row],[Corridor_length]]</f>
        <v>G14</v>
      </c>
      <c r="E79" t="s">
        <v>12</v>
      </c>
      <c r="F79" t="s">
        <v>2</v>
      </c>
      <c r="G79" t="s">
        <v>1</v>
      </c>
      <c r="H79" t="str">
        <f>RSET_lookup[[#This Row],[Location]]&amp;RSET_lookup[[#This Row],[Corridor_length]]</f>
        <v>Corridor14</v>
      </c>
    </row>
    <row r="80" spans="1:8" x14ac:dyDescent="0.25">
      <c r="A80">
        <v>46</v>
      </c>
      <c r="B80" t="s">
        <v>103</v>
      </c>
      <c r="C80">
        <v>18</v>
      </c>
      <c r="D80" t="str">
        <f>RSET_lookup[[#This Row],[RSET_scenario]]&amp;RSET_lookup[[#This Row],[Corridor_length]]</f>
        <v>G18</v>
      </c>
      <c r="E80" t="s">
        <v>12</v>
      </c>
      <c r="F80" t="s">
        <v>2</v>
      </c>
      <c r="G80" t="s">
        <v>1</v>
      </c>
      <c r="H80" t="str">
        <f>RSET_lookup[[#This Row],[Location]]&amp;RSET_lookup[[#This Row],[Corridor_length]]</f>
        <v>Corridor18</v>
      </c>
    </row>
    <row r="81" spans="1:8" x14ac:dyDescent="0.25">
      <c r="A81">
        <v>47</v>
      </c>
      <c r="B81" t="s">
        <v>103</v>
      </c>
      <c r="C81">
        <v>22</v>
      </c>
      <c r="D81" t="str">
        <f>RSET_lookup[[#This Row],[RSET_scenario]]&amp;RSET_lookup[[#This Row],[Corridor_length]]</f>
        <v>G22</v>
      </c>
      <c r="E81" t="s">
        <v>12</v>
      </c>
      <c r="F81" t="s">
        <v>2</v>
      </c>
      <c r="G81" t="s">
        <v>1</v>
      </c>
      <c r="H81" t="str">
        <f>RSET_lookup[[#This Row],[Location]]&amp;RSET_lookup[[#This Row],[Corridor_length]]</f>
        <v>Corridor22</v>
      </c>
    </row>
    <row r="82" spans="1:8" x14ac:dyDescent="0.25">
      <c r="A82">
        <v>48</v>
      </c>
      <c r="B82" t="s">
        <v>103</v>
      </c>
      <c r="C82">
        <v>26</v>
      </c>
      <c r="D82" t="str">
        <f>RSET_lookup[[#This Row],[RSET_scenario]]&amp;RSET_lookup[[#This Row],[Corridor_length]]</f>
        <v>G26</v>
      </c>
      <c r="E82" t="s">
        <v>12</v>
      </c>
      <c r="F82" t="s">
        <v>2</v>
      </c>
      <c r="G82" t="s">
        <v>1</v>
      </c>
      <c r="H82" t="str">
        <f>RSET_lookup[[#This Row],[Location]]&amp;RSET_lookup[[#This Row],[Corridor_length]]</f>
        <v>Corridor26</v>
      </c>
    </row>
    <row r="83" spans="1:8" x14ac:dyDescent="0.25">
      <c r="A83">
        <v>49</v>
      </c>
      <c r="B83" t="s">
        <v>103</v>
      </c>
      <c r="C83">
        <v>30</v>
      </c>
      <c r="D83" t="str">
        <f>RSET_lookup[[#This Row],[RSET_scenario]]&amp;RSET_lookup[[#This Row],[Corridor_length]]</f>
        <v>G30</v>
      </c>
      <c r="E83" t="s">
        <v>12</v>
      </c>
      <c r="F83" t="s">
        <v>2</v>
      </c>
      <c r="G83" t="s">
        <v>1</v>
      </c>
      <c r="H83" t="str">
        <f>RSET_lookup[[#This Row],[Location]]&amp;RSET_lookup[[#This Row],[Corridor_length]]</f>
        <v>Corridor30</v>
      </c>
    </row>
    <row r="84" spans="1:8" x14ac:dyDescent="0.25">
      <c r="A84">
        <v>50</v>
      </c>
      <c r="B84" t="s">
        <v>16</v>
      </c>
      <c r="C84">
        <v>6</v>
      </c>
      <c r="D84" t="str">
        <f>RSET_lookup[[#This Row],[RSET_scenario]]&amp;RSET_lookup[[#This Row],[Corridor_length]]</f>
        <v>H6</v>
      </c>
      <c r="E84" t="s">
        <v>12</v>
      </c>
      <c r="F84" t="s">
        <v>2</v>
      </c>
      <c r="G84" t="s">
        <v>2</v>
      </c>
      <c r="H84" t="str">
        <f>RSET_lookup[[#This Row],[Location]]&amp;RSET_lookup[[#This Row],[Corridor_length]]</f>
        <v>Corridor6</v>
      </c>
    </row>
    <row r="85" spans="1:8" x14ac:dyDescent="0.25">
      <c r="A85">
        <v>51</v>
      </c>
      <c r="B85" t="s">
        <v>16</v>
      </c>
      <c r="C85">
        <v>10</v>
      </c>
      <c r="D85" t="str">
        <f>RSET_lookup[[#This Row],[RSET_scenario]]&amp;RSET_lookup[[#This Row],[Corridor_length]]</f>
        <v>H10</v>
      </c>
      <c r="E85" t="s">
        <v>12</v>
      </c>
      <c r="F85" t="s">
        <v>2</v>
      </c>
      <c r="G85" t="s">
        <v>2</v>
      </c>
      <c r="H85" t="str">
        <f>RSET_lookup[[#This Row],[Location]]&amp;RSET_lookup[[#This Row],[Corridor_length]]</f>
        <v>Corridor10</v>
      </c>
    </row>
    <row r="86" spans="1:8" x14ac:dyDescent="0.25">
      <c r="A86">
        <v>52</v>
      </c>
      <c r="B86" t="s">
        <v>16</v>
      </c>
      <c r="C86">
        <v>14</v>
      </c>
      <c r="D86" t="str">
        <f>RSET_lookup[[#This Row],[RSET_scenario]]&amp;RSET_lookup[[#This Row],[Corridor_length]]</f>
        <v>H14</v>
      </c>
      <c r="E86" t="s">
        <v>12</v>
      </c>
      <c r="F86" t="s">
        <v>2</v>
      </c>
      <c r="G86" t="s">
        <v>2</v>
      </c>
      <c r="H86" t="str">
        <f>RSET_lookup[[#This Row],[Location]]&amp;RSET_lookup[[#This Row],[Corridor_length]]</f>
        <v>Corridor14</v>
      </c>
    </row>
    <row r="87" spans="1:8" x14ac:dyDescent="0.25">
      <c r="A87">
        <v>53</v>
      </c>
      <c r="B87" t="s">
        <v>16</v>
      </c>
      <c r="C87">
        <v>18</v>
      </c>
      <c r="D87" t="str">
        <f>RSET_lookup[[#This Row],[RSET_scenario]]&amp;RSET_lookup[[#This Row],[Corridor_length]]</f>
        <v>H18</v>
      </c>
      <c r="E87" t="s">
        <v>12</v>
      </c>
      <c r="F87" t="s">
        <v>2</v>
      </c>
      <c r="G87" t="s">
        <v>2</v>
      </c>
      <c r="H87" t="str">
        <f>RSET_lookup[[#This Row],[Location]]&amp;RSET_lookup[[#This Row],[Corridor_length]]</f>
        <v>Corridor18</v>
      </c>
    </row>
    <row r="88" spans="1:8" x14ac:dyDescent="0.25">
      <c r="A88">
        <v>54</v>
      </c>
      <c r="B88" t="s">
        <v>16</v>
      </c>
      <c r="C88">
        <v>22</v>
      </c>
      <c r="D88" t="str">
        <f>RSET_lookup[[#This Row],[RSET_scenario]]&amp;RSET_lookup[[#This Row],[Corridor_length]]</f>
        <v>H22</v>
      </c>
      <c r="E88" t="s">
        <v>12</v>
      </c>
      <c r="F88" t="s">
        <v>2</v>
      </c>
      <c r="G88" t="s">
        <v>2</v>
      </c>
      <c r="H88" t="str">
        <f>RSET_lookup[[#This Row],[Location]]&amp;RSET_lookup[[#This Row],[Corridor_length]]</f>
        <v>Corridor22</v>
      </c>
    </row>
    <row r="89" spans="1:8" x14ac:dyDescent="0.25">
      <c r="A89">
        <v>55</v>
      </c>
      <c r="B89" t="s">
        <v>16</v>
      </c>
      <c r="C89">
        <v>26</v>
      </c>
      <c r="D89" t="str">
        <f>RSET_lookup[[#This Row],[RSET_scenario]]&amp;RSET_lookup[[#This Row],[Corridor_length]]</f>
        <v>H26</v>
      </c>
      <c r="E89" t="s">
        <v>12</v>
      </c>
      <c r="F89" t="s">
        <v>2</v>
      </c>
      <c r="G89" t="s">
        <v>2</v>
      </c>
      <c r="H89" t="str">
        <f>RSET_lookup[[#This Row],[Location]]&amp;RSET_lookup[[#This Row],[Corridor_length]]</f>
        <v>Corridor26</v>
      </c>
    </row>
    <row r="90" spans="1:8" x14ac:dyDescent="0.25">
      <c r="A90">
        <v>56</v>
      </c>
      <c r="B90" t="s">
        <v>16</v>
      </c>
      <c r="C90">
        <v>30</v>
      </c>
      <c r="D90" t="str">
        <f>RSET_lookup[[#This Row],[RSET_scenario]]&amp;RSET_lookup[[#This Row],[Corridor_length]]</f>
        <v>H30</v>
      </c>
      <c r="E90" t="s">
        <v>12</v>
      </c>
      <c r="F90" t="s">
        <v>2</v>
      </c>
      <c r="G90" t="s">
        <v>2</v>
      </c>
      <c r="H90" t="str">
        <f>RSET_lookup[[#This Row],[Location]]&amp;RSET_lookup[[#This Row],[Corridor_length]]</f>
        <v>Corridor30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event_tree</vt:lpstr>
      <vt:lpstr>ASET_data</vt:lpstr>
      <vt:lpstr>ASET_inputs</vt:lpstr>
      <vt:lpstr>RSET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Tilley</dc:creator>
  <cp:lastModifiedBy>Owen Tilley</cp:lastModifiedBy>
  <dcterms:created xsi:type="dcterms:W3CDTF">2025-08-17T04:26:04Z</dcterms:created>
  <dcterms:modified xsi:type="dcterms:W3CDTF">2025-11-07T21:24:53Z</dcterms:modified>
</cp:coreProperties>
</file>